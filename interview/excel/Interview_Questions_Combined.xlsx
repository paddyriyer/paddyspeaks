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addyiyer/Downloads/"/>
    </mc:Choice>
  </mc:AlternateContent>
  <xr:revisionPtr revIDLastSave="0" documentId="13_ncr:1_{B189BEA0-91C9-F247-B4A9-3425FC90F95B}" xr6:coauthVersionLast="47" xr6:coauthVersionMax="47" xr10:uidLastSave="{00000000-0000-0000-0000-000000000000}"/>
  <bookViews>
    <workbookView xWindow="39980" yWindow="1720" windowWidth="23360" windowHeight="18000" tabRatio="500" firstSheet="2" activeTab="10" xr2:uid="{00000000-000D-0000-FFFF-FFFF00000000}"/>
  </bookViews>
  <sheets>
    <sheet name="Summary" sheetId="1" r:id="rId1"/>
    <sheet name="Index_305" sheetId="2" r:id="rId2"/>
    <sheet name="Solutions_305" sheetId="3" r:id="rId3"/>
    <sheet name="Index_167" sheetId="4" r:id="rId4"/>
    <sheet name="Solutions_167" sheetId="5" r:id="rId5"/>
    <sheet name="Index_Git12" sheetId="6" r:id="rId6"/>
    <sheet name="Solutions_Git12" sheetId="7" r:id="rId7"/>
    <sheet name="Index_SF51" sheetId="8" r:id="rId8"/>
    <sheet name="Solutions_SF51" sheetId="9" r:id="rId9"/>
    <sheet name="Index_PY175" sheetId="10" r:id="rId10"/>
    <sheet name="Solutions_PY175" sheetId="11" r:id="rId11"/>
  </sheets>
  <definedNames>
    <definedName name="_xlnm._FilterDatabase" localSheetId="3" hidden="1">Index_167!$A$1:$D$168</definedName>
    <definedName name="_xlnm._FilterDatabase" localSheetId="1" hidden="1">Index_305!$A$1:$E$306</definedName>
    <definedName name="_xlnm._FilterDatabase" localSheetId="5" hidden="1">Index_Git12!$A$1:$D$13</definedName>
    <definedName name="_xlnm._FilterDatabase" localSheetId="9" hidden="1">Index_PY175!$A$1:$E$176</definedName>
    <definedName name="_xlnm._FilterDatabase" localSheetId="7" hidden="1">Index_SF51!$A$1:$E$52</definedName>
    <definedName name="_xlnm._FilterDatabase" localSheetId="4" hidden="1">Solutions_167!$A$1:$E$168</definedName>
    <definedName name="_xlnm._FilterDatabase" localSheetId="2" hidden="1">Solutions_305!$A$1:$E$306</definedName>
    <definedName name="_xlnm._FilterDatabase" localSheetId="6" hidden="1">Solutions_Git12!$A$1:$E$13</definedName>
    <definedName name="_xlnm._FilterDatabase" localSheetId="10" hidden="1">Solutions_PY175!$A$1:$F$176</definedName>
    <definedName name="_xlnm._FilterDatabase" localSheetId="8" hidden="1">Solutions_SF51!$A$1:$F$52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1" l="1"/>
  <c r="B37" i="1"/>
  <c r="B36" i="1"/>
  <c r="B35" i="1"/>
  <c r="B34" i="1"/>
  <c r="B33" i="1"/>
  <c r="B30" i="1"/>
  <c r="B29" i="1"/>
  <c r="B28" i="1"/>
  <c r="B27" i="1"/>
  <c r="B24" i="1"/>
  <c r="B23" i="1"/>
  <c r="B22" i="1"/>
  <c r="B21" i="1"/>
  <c r="B20" i="1"/>
  <c r="B17" i="1"/>
  <c r="B16" i="1"/>
  <c r="B15" i="1"/>
  <c r="B14" i="1"/>
  <c r="B13" i="1"/>
  <c r="B12" i="1"/>
  <c r="B11" i="1"/>
  <c r="B10" i="1"/>
  <c r="B7" i="1"/>
  <c r="B6" i="1"/>
  <c r="B5" i="1"/>
  <c r="B4" i="1"/>
  <c r="B40" i="1" l="1"/>
</calcChain>
</file>

<file path=xl/sharedStrings.xml><?xml version="1.0" encoding="utf-8"?>
<sst xmlns="http://schemas.openxmlformats.org/spreadsheetml/2006/main" count="5775" uniqueCount="1722">
  <si>
    <t>Interview Questions — Combined Workbook</t>
  </si>
  <si>
    <t>Batch 1 — Company SQL (305)</t>
  </si>
  <si>
    <t>Total</t>
  </si>
  <si>
    <t>Easy</t>
  </si>
  <si>
    <t>Medium</t>
  </si>
  <si>
    <t>Hard</t>
  </si>
  <si>
    <t>Batch 2 — Mixed-tech (167)</t>
  </si>
  <si>
    <t>Linux</t>
  </si>
  <si>
    <t>Docker</t>
  </si>
  <si>
    <t>SQL</t>
  </si>
  <si>
    <t>Snowflake</t>
  </si>
  <si>
    <t>Spark</t>
  </si>
  <si>
    <t>Programming</t>
  </si>
  <si>
    <t>Git</t>
  </si>
  <si>
    <t>Batch 3 — Company Git (12)</t>
  </si>
  <si>
    <t>Free</t>
  </si>
  <si>
    <t>Premium</t>
  </si>
  <si>
    <t>Batch 4 — Company Snowflake (51)</t>
  </si>
  <si>
    <t>Batch 5 — Company Programming/Python (175)</t>
  </si>
  <si>
    <t>Grand total questions</t>
  </si>
  <si>
    <t>#</t>
  </si>
  <si>
    <t>Question</t>
  </si>
  <si>
    <t>Company</t>
  </si>
  <si>
    <t>Type</t>
  </si>
  <si>
    <t>Difficulty</t>
  </si>
  <si>
    <t>Average Order Value</t>
  </si>
  <si>
    <t>Accenture</t>
  </si>
  <si>
    <t>SQL / Aggregation</t>
  </si>
  <si>
    <t>Find Cheapest Product</t>
  </si>
  <si>
    <t>Apple</t>
  </si>
  <si>
    <t>New vs. Returning Customer Report</t>
  </si>
  <si>
    <t>RedHat</t>
  </si>
  <si>
    <t>SQL / Joins</t>
  </si>
  <si>
    <t>Self-Join for Manager Names</t>
  </si>
  <si>
    <t>Backblaze</t>
  </si>
  <si>
    <t>Join Employees and Departments</t>
  </si>
  <si>
    <t>Adobe</t>
  </si>
  <si>
    <t>Find Highest Salary</t>
  </si>
  <si>
    <t>JaneStreet</t>
  </si>
  <si>
    <t>Filter Orders by Date Range</t>
  </si>
  <si>
    <t>Google</t>
  </si>
  <si>
    <t>SQL / Basic</t>
  </si>
  <si>
    <t>Join Three Tables</t>
  </si>
  <si>
    <t>AMD</t>
  </si>
  <si>
    <t>Pivot Daily Sales</t>
  </si>
  <si>
    <t>Find Customers Without Orders</t>
  </si>
  <si>
    <t>LinkedIn</t>
  </si>
  <si>
    <t>Use COALESCE for Null Handling</t>
  </si>
  <si>
    <t>Samsung</t>
  </si>
  <si>
    <t>SQL / Data Manipulation</t>
  </si>
  <si>
    <t>Self-Join for Hierarchical Data</t>
  </si>
  <si>
    <t>Broadcom</t>
  </si>
  <si>
    <t>SQL / Advanced</t>
  </si>
  <si>
    <t>Time Difference Between Order Phases</t>
  </si>
  <si>
    <t>Spotify</t>
  </si>
  <si>
    <t>Find Most Recent Order per Customer</t>
  </si>
  <si>
    <t>Crypto.Com</t>
  </si>
  <si>
    <t>Monthly Hiring Trend by Department</t>
  </si>
  <si>
    <t>Amazon</t>
  </si>
  <si>
    <t>Calculate Percentage Contribution</t>
  </si>
  <si>
    <t>Okta</t>
  </si>
  <si>
    <t>Merge Multiple Address Fields</t>
  </si>
  <si>
    <t>Datadog</t>
  </si>
  <si>
    <t>Union of Service-Specific Customer Lists</t>
  </si>
  <si>
    <t>Anthropic</t>
  </si>
  <si>
    <t>Identify Customers with Returns</t>
  </si>
  <si>
    <t>Etsy</t>
  </si>
  <si>
    <t>Distinct Payment Method List</t>
  </si>
  <si>
    <t>Cloudflare</t>
  </si>
  <si>
    <t>Ordering by Multiple Criteria</t>
  </si>
  <si>
    <t>Reddit</t>
  </si>
  <si>
    <t>Self-Join for Duplicate Email Detection</t>
  </si>
  <si>
    <t>Instacart</t>
  </si>
  <si>
    <t>Simple Correlated Subquery</t>
  </si>
  <si>
    <t>Date Arithmetic Challenge</t>
  </si>
  <si>
    <t>Snap</t>
  </si>
  <si>
    <t>Self-Correlated Subquery for Rank</t>
  </si>
  <si>
    <t>SQL / Arrays</t>
  </si>
  <si>
    <t>Filter With EXISTS</t>
  </si>
  <si>
    <t>Palantir</t>
  </si>
  <si>
    <t>String Concatenation in SELECT</t>
  </si>
  <si>
    <t>Wix</t>
  </si>
  <si>
    <t>Find Nth Highest Revenue</t>
  </si>
  <si>
    <t>Dropbox</t>
  </si>
  <si>
    <t>Self-Join with Aggregation</t>
  </si>
  <si>
    <t>NVIDIA</t>
  </si>
  <si>
    <t>Date Difference in Days</t>
  </si>
  <si>
    <t>Shopify</t>
  </si>
  <si>
    <t>Combine Aggregates with UNION ALL</t>
  </si>
  <si>
    <t>Correlated Subquery for Ranking</t>
  </si>
  <si>
    <t>Atlassian</t>
  </si>
  <si>
    <t>Average Order Value by Category with CASE</t>
  </si>
  <si>
    <t>UBS</t>
  </si>
  <si>
    <t>Advanced JOIN with Three Tables</t>
  </si>
  <si>
    <t>Cumulative Discount Revenue Tracker</t>
  </si>
  <si>
    <t>IBM</t>
  </si>
  <si>
    <t>Duplicate Registration Identifier</t>
  </si>
  <si>
    <t>Hourly Website Traffic Aggregator</t>
  </si>
  <si>
    <t>SAP</t>
  </si>
  <si>
    <t>Overlapping Shift Detector</t>
  </si>
  <si>
    <t>Salesforce</t>
  </si>
  <si>
    <t>Sales Territory Performance Evaluator</t>
  </si>
  <si>
    <t>Nintendo</t>
  </si>
  <si>
    <t>Shipment Delay Analysis</t>
  </si>
  <si>
    <t>Monthly Customer Signup Trend</t>
  </si>
  <si>
    <t>Elastic</t>
  </si>
  <si>
    <t>Dynamic Price Adjustment Simulator</t>
  </si>
  <si>
    <t>Target</t>
  </si>
  <si>
    <t>Aggregate Conditional Averages</t>
  </si>
  <si>
    <t>Subquery in FROM Clause Example</t>
  </si>
  <si>
    <t>Zoom</t>
  </si>
  <si>
    <t>Trend Detection with LAG Window Function</t>
  </si>
  <si>
    <t>Microsoft</t>
  </si>
  <si>
    <t>Subquery for Exclusion Lists</t>
  </si>
  <si>
    <t>Ubisoft</t>
  </si>
  <si>
    <t>Using INTERSECT to Find Common Records</t>
  </si>
  <si>
    <t>Plus500</t>
  </si>
  <si>
    <t>Query with NOT IN Clause</t>
  </si>
  <si>
    <t>Cisco</t>
  </si>
  <si>
    <t>Using COALESCE to Handle Nulls</t>
  </si>
  <si>
    <t>Self-Join to Identify Missing Supervisors</t>
  </si>
  <si>
    <t>Meta</t>
  </si>
  <si>
    <t>Filtering with IN Clause</t>
  </si>
  <si>
    <t>Pivot Data with Aggregate Functions</t>
  </si>
  <si>
    <t>NewRelic</t>
  </si>
  <si>
    <t>Store Performance Comparison</t>
  </si>
  <si>
    <t>TCS</t>
  </si>
  <si>
    <t>Loyalty Program Impact Analysis</t>
  </si>
  <si>
    <t>Inventory Turnover Ratio Computation</t>
  </si>
  <si>
    <t>Correlated Subquery to Compare Values</t>
  </si>
  <si>
    <t>Order Processing Efficiency Query</t>
  </si>
  <si>
    <t>Coinbase</t>
  </si>
  <si>
    <t>Dynamic Employee Turnover Monitor</t>
  </si>
  <si>
    <t>Citi</t>
  </si>
  <si>
    <t>Row_Number Ranking of Purchases</t>
  </si>
  <si>
    <t>Extract Month-Year from Order Date</t>
  </si>
  <si>
    <t>Walmart</t>
  </si>
  <si>
    <t>Recurring Customer Identification</t>
  </si>
  <si>
    <t>BMW</t>
  </si>
  <si>
    <t>Join Product and Supplier Data</t>
  </si>
  <si>
    <t>Intuit</t>
  </si>
  <si>
    <t>Warehouse Order Fulfillment Rate</t>
  </si>
  <si>
    <t>Substring Filtering on Customer Names</t>
  </si>
  <si>
    <t>DigitalOcean</t>
  </si>
  <si>
    <t>Customer Segmentation using CASE</t>
  </si>
  <si>
    <t>Time-Based Sales Comparison</t>
  </si>
  <si>
    <t>Regional Profit Margin Calculator</t>
  </si>
  <si>
    <t>Project Overrun Alert Query</t>
  </si>
  <si>
    <t>Lyft</t>
  </si>
  <si>
    <t>Customer Region Switch Tracker</t>
  </si>
  <si>
    <t>Uber</t>
  </si>
  <si>
    <t>Content Engagement Rate Reporter</t>
  </si>
  <si>
    <t>DeutscheBank</t>
  </si>
  <si>
    <t>Airline Overbooking Analysis</t>
  </si>
  <si>
    <t>Hulu</t>
  </si>
  <si>
    <t>Streaming Content Popularity Ranker</t>
  </si>
  <si>
    <t>EY</t>
  </si>
  <si>
    <t>Forum Activity Analyzer</t>
  </si>
  <si>
    <t>Running Total with Window Function</t>
  </si>
  <si>
    <t>Employee Training Completion Rate</t>
  </si>
  <si>
    <t>Vercel</t>
  </si>
  <si>
    <t>Left Join of Orders and Returns</t>
  </si>
  <si>
    <t>Customer Details with Transaction and Referral Joins</t>
  </si>
  <si>
    <t>Filter Employees by Salary with Department</t>
  </si>
  <si>
    <t>Detect Negative Inventory Levels</t>
  </si>
  <si>
    <t>EPAM</t>
  </si>
  <si>
    <t>Average Basket Size Calculation</t>
  </si>
  <si>
    <t>Nested Subquery for Sales Summary</t>
  </si>
  <si>
    <t>CASE Expression to Categorize Orders</t>
  </si>
  <si>
    <t>Booking.com</t>
  </si>
  <si>
    <t>Null-Safe Calculation with ISNULL</t>
  </si>
  <si>
    <t>Daily Login Count Aggregation</t>
  </si>
  <si>
    <t>Infosys</t>
  </si>
  <si>
    <t>Domain Extraction from Emails</t>
  </si>
  <si>
    <t>Group and Filter by HAVING</t>
  </si>
  <si>
    <t>Identify Overlapping Project Durations</t>
  </si>
  <si>
    <t>Data Analytics Skills</t>
  </si>
  <si>
    <t>Unengaged Pages</t>
  </si>
  <si>
    <t>Incomplete Assembly Tasks</t>
  </si>
  <si>
    <t>Tesla</t>
  </si>
  <si>
    <t>Device Viewership Analysis</t>
  </si>
  <si>
    <t>Netflix</t>
  </si>
  <si>
    <t>Posting Activity Gap</t>
  </si>
  <si>
    <t>Slack Power Users</t>
  </si>
  <si>
    <t>Slack</t>
  </si>
  <si>
    <t>Duplicate Job Listings</t>
  </si>
  <si>
    <t>Cities With Completed Trades</t>
  </si>
  <si>
    <t>Robinhood</t>
  </si>
  <si>
    <t>Average Review Ratings</t>
  </si>
  <si>
    <t>Well Paid Employees</t>
  </si>
  <si>
    <t>Account Balance Calculation</t>
  </si>
  <si>
    <t>PayPal</t>
  </si>
  <si>
    <t>App Click-Through Rate Analysis</t>
  </si>
  <si>
    <t>User Confirmation Timing</t>
  </si>
  <si>
    <t>TikTok</t>
  </si>
  <si>
    <t>Employee Query Activity Analysis</t>
  </si>
  <si>
    <t>Monthly Card Issuance Variance</t>
  </si>
  <si>
    <t>JPMorgan</t>
  </si>
  <si>
    <t>Order Items Average</t>
  </si>
  <si>
    <t>Top Profitable Drugs</t>
  </si>
  <si>
    <t>User Activity Distribution</t>
  </si>
  <si>
    <t>Annual Revenue by Manufacturer</t>
  </si>
  <si>
    <t>Active Customer Analysis</t>
  </si>
  <si>
    <t>Export SQLite Database Query Results to CSV File</t>
  </si>
  <si>
    <t>Intel</t>
  </si>
  <si>
    <t>Programming / Python+1</t>
  </si>
  <si>
    <t>Year-over-Year Revenue Growth</t>
  </si>
  <si>
    <t>OpenAI</t>
  </si>
  <si>
    <t>Interactive Sales Funnel Analyzer</t>
  </si>
  <si>
    <t>Job Application Funnel Analysis</t>
  </si>
  <si>
    <t>Above Average Price Products</t>
  </si>
  <si>
    <t>Frequent Price Change Detector</t>
  </si>
  <si>
    <t>Aggregate Employee Salaries</t>
  </si>
  <si>
    <t>Count Distinct Product Categories</t>
  </si>
  <si>
    <t>Use CASE in SELECT</t>
  </si>
  <si>
    <t>Yahoo</t>
  </si>
  <si>
    <t>Calculate Cumulative Sales</t>
  </si>
  <si>
    <t>Group and Filter with HAVING</t>
  </si>
  <si>
    <t>GitLab</t>
  </si>
  <si>
    <t>Find Overlapping Date Ranges</t>
  </si>
  <si>
    <t>X</t>
  </si>
  <si>
    <t>Aggregate Data with CUBE</t>
  </si>
  <si>
    <t>Over-Budget Project Detection</t>
  </si>
  <si>
    <t>Qualcomm</t>
  </si>
  <si>
    <t>Eligible Bonus Calculation with CASE</t>
  </si>
  <si>
    <t>Set Operation: INTERSECT</t>
  </si>
  <si>
    <t>DoorDash</t>
  </si>
  <si>
    <t>Extract Year and Month</t>
  </si>
  <si>
    <t>Overall System Downtime Aggregation</t>
  </si>
  <si>
    <t>Set Operation: EXCEPT</t>
  </si>
  <si>
    <t>Percentile Rank of Sales</t>
  </si>
  <si>
    <t>Splunk</t>
  </si>
  <si>
    <t>Transaction Anomaly Detector</t>
  </si>
  <si>
    <t>Discord</t>
  </si>
  <si>
    <t>Complex CASE for Bonus Tiers</t>
  </si>
  <si>
    <t>Monthly Revenue Pivot by Region</t>
  </si>
  <si>
    <t>Subquery for Best Order per Customer</t>
  </si>
  <si>
    <t>Union for Combined Active/Inactive Users</t>
  </si>
  <si>
    <t>Latest Order per Customer with Subquery</t>
  </si>
  <si>
    <t>Order Count per Employee using GROUP BY</t>
  </si>
  <si>
    <t>Query for Top N per Group Without Window Functions</t>
  </si>
  <si>
    <t>Pivot with Aggregate Functions</t>
  </si>
  <si>
    <t>Ranking with Dense_Rank</t>
  </si>
  <si>
    <t>Conditional Count with FILTER</t>
  </si>
  <si>
    <t>Multiple Joins with Aliases</t>
  </si>
  <si>
    <t>Case Expression in ORDER BY</t>
  </si>
  <si>
    <t>Weighted Exam Score Calculator</t>
  </si>
  <si>
    <t>Instructor-less Courses Finder</t>
  </si>
  <si>
    <t>Median Salary by Job Title</t>
  </si>
  <si>
    <t>ActivisionBlizzard</t>
  </si>
  <si>
    <t>Warehouse Stock Cycle Analyzer</t>
  </si>
  <si>
    <t>Customer Segment Profitability</t>
  </si>
  <si>
    <t>Self-Join for Duplicate Detection</t>
  </si>
  <si>
    <t>Use LAG/LEAD Functions</t>
  </si>
  <si>
    <t>Oracle</t>
  </si>
  <si>
    <t>String Splitting and Aggregation</t>
  </si>
  <si>
    <t>Pivot with CASE Statements</t>
  </si>
  <si>
    <t>GE</t>
  </si>
  <si>
    <t>Multiple Aggregates in Single Query</t>
  </si>
  <si>
    <t>NPM</t>
  </si>
  <si>
    <t>Self-Join for Temporal Comparison</t>
  </si>
  <si>
    <t>Left Join to Include All Records</t>
  </si>
  <si>
    <t>Salary Comparison with CTE Aggregation</t>
  </si>
  <si>
    <t>Find Median Value with Subqueries</t>
  </si>
  <si>
    <t>Deloitte</t>
  </si>
  <si>
    <t>ORDER BY with Multiple Columns</t>
  </si>
  <si>
    <t>Query for Top N per Group</t>
  </si>
  <si>
    <t>Bloomberg</t>
  </si>
  <si>
    <t>Aggregation with Multiple GROUP BY Columns</t>
  </si>
  <si>
    <t>CASE Statement for Conditional Logic</t>
  </si>
  <si>
    <t>Employee Bonus Eligibility Checker</t>
  </si>
  <si>
    <t>Visa</t>
  </si>
  <si>
    <t>Return Rate Comparison across Categories</t>
  </si>
  <si>
    <t>Peak Hour Identification for Sales</t>
  </si>
  <si>
    <t>Multi-Channel Sales Integration</t>
  </si>
  <si>
    <t>Query Utilizing BETWEEN and AND</t>
  </si>
  <si>
    <t>Shipment Cost Efficiency Analyzer</t>
  </si>
  <si>
    <t>Bolt</t>
  </si>
  <si>
    <t>Product Stock Replenishment Predictor</t>
  </si>
  <si>
    <t>Supplier On-Time Performance Ranking</t>
  </si>
  <si>
    <t>CapitalOne</t>
  </si>
  <si>
    <t>Quarterly Sales Pivot</t>
  </si>
  <si>
    <t>Cross-Sell Opportunity Identifier</t>
  </si>
  <si>
    <t>Databricks</t>
  </si>
  <si>
    <t>Unpivot Regional Product Data</t>
  </si>
  <si>
    <t>Cognizant</t>
  </si>
  <si>
    <t>Employee Productivity Trend</t>
  </si>
  <si>
    <t>Sales Forecast Accuracy Evaluator</t>
  </si>
  <si>
    <t>Retrospective Discount Analysis</t>
  </si>
  <si>
    <t>Hotel Room Occupancy Rate Calculator</t>
  </si>
  <si>
    <t>Yearly Growth Calculation with LAG</t>
  </si>
  <si>
    <t>Movie Box Office Trend Analyzer</t>
  </si>
  <si>
    <t>Twitch</t>
  </si>
  <si>
    <t>E-commerce Cart Abandonment Rate</t>
  </si>
  <si>
    <t>Interview Success Ratio Query</t>
  </si>
  <si>
    <t>Multiple Column Grouping for Inventory</t>
  </si>
  <si>
    <t>GROUPING SETS for Multi-Level Summaries</t>
  </si>
  <si>
    <t>Salary Increase Projection</t>
  </si>
  <si>
    <t>Top 10 Customers Subquery Filter</t>
  </si>
  <si>
    <t>Aggregate Review Sentiments</t>
  </si>
  <si>
    <t>Pivot Customer Order Frequencies</t>
  </si>
  <si>
    <t>High Cancellation Rate Orders</t>
  </si>
  <si>
    <t>Join Sales and Campaign Data</t>
  </si>
  <si>
    <t>VIP Customer Average Order Size</t>
  </si>
  <si>
    <t>Zscaler</t>
  </si>
  <si>
    <t>Seasonal Sales Peaks Identification</t>
  </si>
  <si>
    <t>Recursive CTE for Bill of Materials</t>
  </si>
  <si>
    <t>McKinsey</t>
  </si>
  <si>
    <t>Rolling Average Profit with Window Function</t>
  </si>
  <si>
    <t>User Activation Rate</t>
  </si>
  <si>
    <t>User Transaction Milestone</t>
  </si>
  <si>
    <t>Employee Salary Ranking Analysis</t>
  </si>
  <si>
    <t>Messaging Activity Analysis</t>
  </si>
  <si>
    <t>Post Engagement Trends</t>
  </si>
  <si>
    <t>Twitter</t>
  </si>
  <si>
    <t>Highest-Grossing Items</t>
  </si>
  <si>
    <t>Top Three Salaries</t>
  </si>
  <si>
    <t>Cumulative Song Plays</t>
  </si>
  <si>
    <t>Complete Category Buyers</t>
  </si>
  <si>
    <t>Odd Even Measurement Sums</t>
  </si>
  <si>
    <t>Corrected Order Pairing</t>
  </si>
  <si>
    <t>FAANG Stock Price Extremes</t>
  </si>
  <si>
    <t>Shopping Spree Streak</t>
  </si>
  <si>
    <t>Latest Purchase Summary</t>
  </si>
  <si>
    <t>Order Item Count Mode</t>
  </si>
  <si>
    <t>Credit Card Launch Analysis</t>
  </si>
  <si>
    <t>International Call Percentage</t>
  </si>
  <si>
    <t>Twilio</t>
  </si>
  <si>
    <t>Uncategorised Call Percentage</t>
  </si>
  <si>
    <t>Monthly Active Users</t>
  </si>
  <si>
    <t>Year-on-Year Spend Growth Rate</t>
  </si>
  <si>
    <t>Fetch Paginated API Data and Store in SQLite Database</t>
  </si>
  <si>
    <t>GitHub</t>
  </si>
  <si>
    <t>SQL JOIN with Pandas Data Processing and CSV Export</t>
  </si>
  <si>
    <t>Programming / Python+2</t>
  </si>
  <si>
    <t>Insert New Records into SQLite Database from CSV</t>
  </si>
  <si>
    <t>Aggregate SQL Query Results with Pandas and Export to Excel</t>
  </si>
  <si>
    <t>Sync Product Catalog from CSV to SQLite Database</t>
  </si>
  <si>
    <t>Filter Employees by Department</t>
  </si>
  <si>
    <t>Group Customers by City</t>
  </si>
  <si>
    <t>Count Orders per Customer</t>
  </si>
  <si>
    <t>DeliveryHero</t>
  </si>
  <si>
    <t>Second Highest Salary</t>
  </si>
  <si>
    <t>SQL / Subqueries</t>
  </si>
  <si>
    <t>Retrieve Top 5 Best-Selling Products</t>
  </si>
  <si>
    <t>Stripe</t>
  </si>
  <si>
    <t>Rank Products by Sales</t>
  </si>
  <si>
    <t>Department Average Salary Comparison</t>
  </si>
  <si>
    <t>Join with Subquery</t>
  </si>
  <si>
    <t>EpicGames</t>
  </si>
  <si>
    <t>Numeric Formatting with CAST</t>
  </si>
  <si>
    <t>Autodesk</t>
  </si>
  <si>
    <t>Category Discount Impact Analysis</t>
  </si>
  <si>
    <t>Employee-Project Join with Aggregation</t>
  </si>
  <si>
    <t>Revolut</t>
  </si>
  <si>
    <t>Calculate Average Delivery Time</t>
  </si>
  <si>
    <t>Missing Date Detection in Calendar</t>
  </si>
  <si>
    <t>Join Demographics with Purchases</t>
  </si>
  <si>
    <t>String Pattern Extraction in Descriptions</t>
  </si>
  <si>
    <t>String Function Practice</t>
  </si>
  <si>
    <t>Conditional Aggregation with SUM and CASE</t>
  </si>
  <si>
    <t>Nested Subquery for Latest Record</t>
  </si>
  <si>
    <t>Group and Concatenate</t>
  </si>
  <si>
    <t>Window Function for Moving Average</t>
  </si>
  <si>
    <t>Query to Detect Gaps in Data</t>
  </si>
  <si>
    <t>Course Enrollment Ranker</t>
  </si>
  <si>
    <t>Re-enrollment Rate Calculator</t>
  </si>
  <si>
    <t>Daily Active User Reporter</t>
  </si>
  <si>
    <t>Airbnb</t>
  </si>
  <si>
    <t>Product Reorder Suggestion Query</t>
  </si>
  <si>
    <t>Supplier Reliability Checker</t>
  </si>
  <si>
    <t>Top 3 Products per Region</t>
  </si>
  <si>
    <t>Barclays</t>
  </si>
  <si>
    <t>String Pattern Matching Using LIKE</t>
  </si>
  <si>
    <t>Customer Order Aggregation</t>
  </si>
  <si>
    <t>Promotional Campaign Effectiveness</t>
  </si>
  <si>
    <t>Average Transaction Value by Store</t>
  </si>
  <si>
    <t>Supplier Delivery Time Analyzer</t>
  </si>
  <si>
    <t>Customer Churn Rate Calculator</t>
  </si>
  <si>
    <t>JOIN with Multiple Conditions</t>
  </si>
  <si>
    <t>Expedia</t>
  </si>
  <si>
    <t>Top-Selling Region Identification</t>
  </si>
  <si>
    <t>Top Seller by Region with RANK()</t>
  </si>
  <si>
    <t>Calculate Slow Order Durations</t>
  </si>
  <si>
    <t>Discounted Sales Impact Reporter</t>
  </si>
  <si>
    <t>Order Status Revenue Analysis</t>
  </si>
  <si>
    <t>COALESCE to Fill Missing Sales Data</t>
  </si>
  <si>
    <t>Advanced Shipment Delay Trend</t>
  </si>
  <si>
    <t>Weekly Web Traffic Growth Query</t>
  </si>
  <si>
    <t>Inventory Aging Report</t>
  </si>
  <si>
    <t>Customer Feedback Trend Analyzer</t>
  </si>
  <si>
    <t>Invoice Payment Delay Finder</t>
  </si>
  <si>
    <t>Loan Default Risk Query</t>
  </si>
  <si>
    <t>Streaming Subscriber Growth Calculator</t>
  </si>
  <si>
    <t>Flight Delay Pattern Detector</t>
  </si>
  <si>
    <t>E-Book Download Correlation</t>
  </si>
  <si>
    <t>Social Network Growth Rate Calculator</t>
  </si>
  <si>
    <t>DENSE_RANK for Profit Margin</t>
  </si>
  <si>
    <t>Annual Employee Turnover by Manager</t>
  </si>
  <si>
    <t>Recruitment Cycle Time Calculator</t>
  </si>
  <si>
    <t>Correlated Subquery for Purchase Comparison</t>
  </si>
  <si>
    <t>CTE for Complex Sales Aggregation</t>
  </si>
  <si>
    <t>INTERSECT for Common Orders</t>
  </si>
  <si>
    <t>Self-Join to Compare Order Dates</t>
  </si>
  <si>
    <t>Rank Suppliers by On-Time Delivery</t>
  </si>
  <si>
    <t>HashiCorp</t>
  </si>
  <si>
    <t>Row-Wise Price Comparison</t>
  </si>
  <si>
    <t>Order Time Gap Analysis with LAG</t>
  </si>
  <si>
    <t>Dynamic SQL Simulation Concept</t>
  </si>
  <si>
    <t>Product Return Percentage Calculation</t>
  </si>
  <si>
    <t>Grouped Data Using HAVING Double Condition</t>
  </si>
  <si>
    <t>Average Cost per Acquisition</t>
  </si>
  <si>
    <t>Sum and Average Salaries by Department</t>
  </si>
  <si>
    <t>Merge Employee and Department Records</t>
  </si>
  <si>
    <t>Sequence Products by Price</t>
  </si>
  <si>
    <t>GoDaddy</t>
  </si>
  <si>
    <t>Ranking Sales Representatives Using Dense_Rank</t>
  </si>
  <si>
    <t>Advanced Hierarchical Data Processing and Recursive Query Optimization for Organizational Structure Analysis</t>
  </si>
  <si>
    <t>Prime Batch Warehouse Capacity</t>
  </si>
  <si>
    <t>Median Search Frequency</t>
  </si>
  <si>
    <t>Advertiser Status Update</t>
  </si>
  <si>
    <t>Consecutive Filing Users</t>
  </si>
  <si>
    <t>Consecutive Marketing Touches</t>
  </si>
  <si>
    <t>Pizza Topping Combinations</t>
  </si>
  <si>
    <t>Repeat Callers Within 7 Days</t>
  </si>
  <si>
    <t>Monthly Long Call Growth Rate</t>
  </si>
  <si>
    <t>Repeated Payment Transactions</t>
  </si>
  <si>
    <t>Reactivated Users Per Month</t>
  </si>
  <si>
    <t>Senior Manager Direct Reports</t>
  </si>
  <si>
    <t>Server Fleet Uptime</t>
  </si>
  <si>
    <t>Combine Data from Multiple Sources into Unified Report</t>
  </si>
  <si>
    <t>Export SQLite Database to Parquet Format with Metadata</t>
  </si>
  <si>
    <t>Top Categories by Average Price</t>
  </si>
  <si>
    <t>Distinct Product Classification Count</t>
  </si>
  <si>
    <t>Categorize Product Prices with CASE</t>
  </si>
  <si>
    <t>Set Operation EXCEPT for Order Comparisons</t>
  </si>
  <si>
    <t>Pivot Aggregated Order Data</t>
  </si>
  <si>
    <t>Identify Overlapping Doctor Appointments</t>
  </si>
  <si>
    <t>Complex Aggregation and Join: Employee Project Assignments and Salary Calculation</t>
  </si>
  <si>
    <t>Complex Data Warehouse Aggregation and Trend Analysis for Multi-Channel Sales Optimization</t>
  </si>
  <si>
    <t>Inferred Schema</t>
  </si>
  <si>
    <t>SQL Solution</t>
  </si>
  <si>
    <t>orders(order_id, customer_id, order_total, order_date)</t>
  </si>
  <si>
    <t>SELECT AVG(order_total) AS avg_order_value FROM orders;</t>
  </si>
  <si>
    <t>products(product_id, name, price)</t>
  </si>
  <si>
    <t>SELECT product_id, name, price FROM products ORDER BY price ASC LIMIT 1;</t>
  </si>
  <si>
    <t>orders(order_id, customer_id, order_date)</t>
  </si>
  <si>
    <t>SELECT
  CASE WHEN COUNT(*) = 1 THEN 'New' ELSE 'Returning' END AS customer_type,
  COUNT(DISTINCT customer_id) AS customers
FROM (SELECT customer_id, COUNT(*) AS cnt FROM orders GROUP BY customer_id) t
GROUP BY CASE WHEN cnt = 1 THEN 'New' ELSE 'Returning' END;</t>
  </si>
  <si>
    <t>employees(emp_id, name, manager_id)</t>
  </si>
  <si>
    <t>SELECT e.name AS employee, m.name AS manager
FROM employees e LEFT JOIN employees m ON e.manager_id = m.emp_id;</t>
  </si>
  <si>
    <t>employees(emp_id, name, dept_id), departments(dept_id, dept_name)</t>
  </si>
  <si>
    <t>SELECT e.name, d.dept_name
FROM employees e JOIN departments d ON e.dept_id = d.dept_id;</t>
  </si>
  <si>
    <t>employees(emp_id, name, salary)</t>
  </si>
  <si>
    <t>SELECT MAX(salary) AS highest_salary FROM employees;</t>
  </si>
  <si>
    <t>orders(order_id, order_date, amount)</t>
  </si>
  <si>
    <t>SELECT * FROM orders WHERE order_date BETWEEN DATE '2025-01-01' AND DATE '2025-03-31';</t>
  </si>
  <si>
    <t>orders(o), customers(c), products(p) via order_items(order_id, product_id)</t>
  </si>
  <si>
    <t>SELECT o.order_id, c.name AS customer, p.name AS product
FROM orders o
JOIN customers c ON o.customer_id = c.customer_id
JOIN order_items oi ON o.order_id = oi.order_id
JOIN products p ON oi.product_id = p.product_id;</t>
  </si>
  <si>
    <t>sales(sale_date, amount)</t>
  </si>
  <si>
    <t>SELECT sale_date,
  SUM(CASE WHEN amount &gt; 0 THEN amount END) AS positive_sales,
  COUNT(*) AS txn_count
FROM sales GROUP BY sale_date ORDER BY sale_date;</t>
  </si>
  <si>
    <t>customers(customer_id, name), orders(order_id, customer_id)</t>
  </si>
  <si>
    <t>SELECT c.customer_id, c.name
FROM customers c LEFT JOIN orders o ON c.customer_id = o.customer_id
WHERE o.order_id IS NULL;</t>
  </si>
  <si>
    <t>employees(emp_id, name, bonus)</t>
  </si>
  <si>
    <t>SELECT emp_id, name, COALESCE(bonus, 0) AS bonus FROM employees;</t>
  </si>
  <si>
    <t>WITH RECURSIVE hierarchy AS (
  SELECT emp_id, name, manager_id, 1 AS level FROM employees WHERE manager_id IS NULL
  UNION ALL
  SELECT e.emp_id, e.name, e.manager_id, h.level+1
  FROM employees e JOIN hierarchy h ON e.manager_id = h.emp_id)
SELECT * FROM hierarchy ORDER BY level, emp_id;</t>
  </si>
  <si>
    <t>orders(order_id, created_at, shipped_at)</t>
  </si>
  <si>
    <t>SELECT order_id,
  EXTRACT(EPOCH FROM (shipped_at - created_at))/3600 AS hours_to_ship
FROM orders WHERE shipped_at IS NOT NULL;</t>
  </si>
  <si>
    <t>SELECT customer_id, order_id, order_date
FROM (SELECT *, ROW_NUMBER() OVER (PARTITION BY customer_id ORDER BY order_date DESC) rn FROM orders) t
WHERE rn = 1;</t>
  </si>
  <si>
    <t>employees(emp_id, dept_id, hire_date), departments(dept_id, dept_name)</t>
  </si>
  <si>
    <t>SELECT d.dept_name, DATE_TRUNC('month', e.hire_date) AS month, COUNT(*) AS hires
FROM employees e JOIN departments d ON e.dept_id = d.dept_id
GROUP BY d.dept_name, DATE_TRUNC('month', e.hire_date)
ORDER BY month, d.dept_name;</t>
  </si>
  <si>
    <t>sales(region, amount)</t>
  </si>
  <si>
    <t>SELECT region, SUM(amount) AS region_total,
  100.0 * SUM(amount) / SUM(SUM(amount)) OVER () AS pct_contribution
FROM sales GROUP BY region;</t>
  </si>
  <si>
    <t>customers(customer_id, street, city, state, zip)</t>
  </si>
  <si>
    <t>SELECT customer_id,
  CONCAT_WS(', ', street, city, state, zip) AS full_address
FROM customers;</t>
  </si>
  <si>
    <t>service_a_customers(customer_id, name), service_b_customers(customer_id, name)</t>
  </si>
  <si>
    <t>SELECT customer_id, name FROM service_a_customers
UNION
SELECT customer_id, name FROM service_b_customers;</t>
  </si>
  <si>
    <t>returns(return_id, customer_id, order_id)</t>
  </si>
  <si>
    <t>SELECT DISTINCT customer_id FROM returns;</t>
  </si>
  <si>
    <t>payments(payment_id, method)</t>
  </si>
  <si>
    <t>SELECT DISTINCT method FROM payments ORDER BY method;</t>
  </si>
  <si>
    <t>orders(order_id, customer_id, order_date, amount)</t>
  </si>
  <si>
    <t>SELECT * FROM orders ORDER BY customer_id ASC, order_date DESC, amount DESC;</t>
  </si>
  <si>
    <t>users(user_id, email)</t>
  </si>
  <si>
    <t>SELECT a.user_id AS u1, b.user_id AS u2, a.email
FROM users a JOIN users b ON a.email = b.email AND a.user_id &lt; b.user_id;</t>
  </si>
  <si>
    <t>employees(emp_id, dept_id, salary)</t>
  </si>
  <si>
    <t>SELECT emp_id, dept_id, salary
FROM employees e
WHERE salary &gt; (SELECT AVG(salary) FROM employees WHERE dept_id = e.dept_id);</t>
  </si>
  <si>
    <t>orders(order_id, order_date)</t>
  </si>
  <si>
    <t>SELECT order_id, order_date, order_date + INTERVAL '7 days' AS due_date FROM orders;</t>
  </si>
  <si>
    <t>scores(player_id, score)</t>
  </si>
  <si>
    <t>SELECT player_id, score,
  (SELECT COUNT(*)+1 FROM scores s2 WHERE s2.score &gt; s1.score) AS rank
FROM scores s1 ORDER BY rank;</t>
  </si>
  <si>
    <t>customers(customer_id), orders(order_id, customer_id)</t>
  </si>
  <si>
    <t>SELECT c.customer_id FROM customers c
WHERE EXISTS (SELECT 1 FROM orders o WHERE o.customer_id = c.customer_id);</t>
  </si>
  <si>
    <t>employees(emp_id, first_name, last_name)</t>
  </si>
  <si>
    <t>SELECT emp_id, first_name || ' ' || last_name AS full_name FROM employees;</t>
  </si>
  <si>
    <t>orders(order_id, revenue)</t>
  </si>
  <si>
    <t>SELECT DISTINCT revenue FROM orders ORDER BY revenue DESC OFFSET 2 LIMIT 1;
-- Replace 2 with N-1 for the Nth highest</t>
  </si>
  <si>
    <t>orders(order_id, customer_id, amount)</t>
  </si>
  <si>
    <t>SELECT a.customer_id, COUNT(b.order_id) AS related_orders, SUM(b.amount) AS total
FROM orders a JOIN orders b ON a.customer_id = b.customer_id AND a.order_id &lt;&gt; b.order_id
GROUP BY a.customer_id;</t>
  </si>
  <si>
    <t>orders(order_id, order_date, ship_date)</t>
  </si>
  <si>
    <t>SELECT order_id, ship_date - order_date AS days_to_ship FROM orders;</t>
  </si>
  <si>
    <t>sales_2024, sales_2025 (same shape)</t>
  </si>
  <si>
    <t>SELECT '2024' AS yr, SUM(amount) FROM sales_2024
UNION ALL
SELECT '2025', SUM(amount) FROM sales_2025;</t>
  </si>
  <si>
    <t>SELECT emp_id, dept_id, salary,
  (SELECT COUNT(*)+1 FROM employees e2 WHERE e2.dept_id = e.dept_id AND e2.salary &gt; e.salary) AS dept_rank
FROM employees e;</t>
  </si>
  <si>
    <t>orders(order_id, category, order_total)</t>
  </si>
  <si>
    <t>SELECT category,
  AVG(CASE WHEN order_total &gt; 100 THEN order_total END) AS avg_high_value,
  AVG(CASE WHEN order_total &lt;= 100 THEN order_total END) AS avg_low_value
FROM orders GROUP BY category;</t>
  </si>
  <si>
    <t>customers, orders, products via order_items</t>
  </si>
  <si>
    <t>SELECT c.name, o.order_id, p.name AS product, oi.qty
FROM customers c
JOIN orders o ON c.customer_id = o.customer_id
JOIN order_items oi ON o.order_id = oi.order_id
JOIN products p ON oi.product_id = p.product_id;</t>
  </si>
  <si>
    <t>orders(order_id, order_date, discount_amount)</t>
  </si>
  <si>
    <t>SELECT order_date, discount_amount,
  SUM(discount_amount) OVER (ORDER BY order_date) AS cumulative_discount
FROM orders;</t>
  </si>
  <si>
    <t>registrations(user_id, email, registered_at)</t>
  </si>
  <si>
    <t>SELECT email, COUNT(*) AS dup_count
FROM registrations GROUP BY email HAVING COUNT(*) &gt; 1;</t>
  </si>
  <si>
    <t>traffic(visit_id, visit_time)</t>
  </si>
  <si>
    <t>SELECT EXTRACT(HOUR FROM visit_time) AS hr, COUNT(*) AS visits
FROM traffic GROUP BY EXTRACT(HOUR FROM visit_time) ORDER BY hr;</t>
  </si>
  <si>
    <t>shifts(shift_id, employee_id, start_time, end_time)</t>
  </si>
  <si>
    <t>SELECT a.shift_id, b.shift_id
FROM shifts a JOIN shifts b
  ON a.employee_id = b.employee_id AND a.shift_id &lt; b.shift_id
 AND a.start_time &lt; b.end_time AND b.start_time &lt; a.end_time;</t>
  </si>
  <si>
    <t>sales(territory, rep_id, amount)</t>
  </si>
  <si>
    <t>SELECT territory, SUM(amount) AS total_sales,
  RANK() OVER (ORDER BY SUM(amount) DESC) AS rk
FROM sales GROUP BY territory;</t>
  </si>
  <si>
    <t>shipments(shipment_id, scheduled_date, actual_date)</t>
  </si>
  <si>
    <t>SELECT AVG(actual_date - scheduled_date) AS avg_delay_days,
  SUM(CASE WHEN actual_date &gt; scheduled_date THEN 1 ELSE 0 END) AS late_count
FROM shipments;</t>
  </si>
  <si>
    <t>customers(customer_id, signup_date)</t>
  </si>
  <si>
    <t>SELECT DATE_TRUNC('month', signup_date) AS month, COUNT(*) AS signups
FROM customers GROUP BY DATE_TRUNC('month', signup_date) ORDER BY month;</t>
  </si>
  <si>
    <t>products(product_id, base_price), promotions(product_id, discount_pct)</t>
  </si>
  <si>
    <t>SELECT p.product_id, p.base_price,
  p.base_price * (1 - COALESCE(pr.discount_pct,0)/100.0) AS adjusted_price
FROM products p LEFT JOIN promotions pr ON p.product_id = pr.product_id;</t>
  </si>
  <si>
    <t>sales(category, region, amount)</t>
  </si>
  <si>
    <t>SELECT category,
  AVG(CASE WHEN region = 'North' THEN amount END) AS avg_north,
  AVG(CASE WHEN region = 'South' THEN amount END) AS avg_south
FROM sales GROUP BY category;</t>
  </si>
  <si>
    <t>SELECT customer_id, total_spent
FROM (SELECT customer_id, SUM(amount) AS total_spent FROM orders GROUP BY customer_id) t
WHERE total_spent &gt; 1000;</t>
  </si>
  <si>
    <t>metrics(metric_date, value)</t>
  </si>
  <si>
    <t>SELECT metric_date, value,
  value - LAG(value) OVER (ORDER BY metric_date) AS day_over_day_change
FROM metrics;</t>
  </si>
  <si>
    <t>active_customers(id), blacklist(id)</t>
  </si>
  <si>
    <t>SELECT id FROM active_customers WHERE id NOT IN (SELECT id FROM blacklist);</t>
  </si>
  <si>
    <t>table_a(id), table_b(id)</t>
  </si>
  <si>
    <t>SELECT id FROM table_a INTERSECT SELECT id FROM table_b;</t>
  </si>
  <si>
    <t>orders(customer_id), refunds(customer_id)</t>
  </si>
  <si>
    <t>SELECT DISTINCT customer_id FROM orders WHERE customer_id NOT IN (SELECT customer_id FROM refunds WHERE customer_id IS NOT NULL);</t>
  </si>
  <si>
    <t>employees(emp_id, name, bonus, salary)</t>
  </si>
  <si>
    <t>SELECT emp_id, name, salary + COALESCE(bonus,0) AS total_comp FROM employees;</t>
  </si>
  <si>
    <t>employees(emp_id, name, supervisor_id)</t>
  </si>
  <si>
    <t>SELECT e.emp_id, e.name FROM employees e
LEFT JOIN employees s ON e.supervisor_id = s.emp_id
WHERE e.supervisor_id IS NOT NULL AND s.emp_id IS NULL;</t>
  </si>
  <si>
    <t>orders(order_id, status)</t>
  </si>
  <si>
    <t>SELECT * FROM orders WHERE status IN ('shipped','delivered','returned');</t>
  </si>
  <si>
    <t>sales(year, quarter, amount)</t>
  </si>
  <si>
    <t>SELECT year,
  SUM(CASE WHEN quarter='Q1' THEN amount END) AS q1,
  SUM(CASE WHEN quarter='Q2' THEN amount END) AS q2,
  SUM(CASE WHEN quarter='Q3' THEN amount END) AS q3,
  SUM(CASE WHEN quarter='Q4' THEN amount END) AS q4
FROM sales GROUP BY year;</t>
  </si>
  <si>
    <t>stores(store_id, name), sales(store_id, amount)</t>
  </si>
  <si>
    <t>SELECT s.name, SUM(sa.amount) AS total
FROM stores s LEFT JOIN sales sa ON s.store_id = sa.store_id
GROUP BY s.name ORDER BY total DESC;</t>
  </si>
  <si>
    <t>customers(customer_id, is_loyalty), orders(customer_id, amount)</t>
  </si>
  <si>
    <t>SELECT c.is_loyalty, AVG(o.amount) AS avg_order, COUNT(*) AS n
FROM customers c JOIN orders o ON c.customer_id = o.customer_id
GROUP BY c.is_loyalty;</t>
  </si>
  <si>
    <t>inventory(product_id, cogs, avg_inventory)</t>
  </si>
  <si>
    <t>SELECT product_id, cogs / NULLIF(avg_inventory,0) AS turnover_ratio FROM inventory;</t>
  </si>
  <si>
    <t>products(product_id, price, category)</t>
  </si>
  <si>
    <t>SELECT product_id, category, price FROM products p
WHERE price &gt; (SELECT AVG(price) FROM products WHERE category = p.category);</t>
  </si>
  <si>
    <t>orders(order_id, received_at, processed_at)</t>
  </si>
  <si>
    <t>SELECT AVG(EXTRACT(EPOCH FROM (processed_at - received_at))/60) AS avg_minutes_to_process,
  COUNT(*) FILTER (WHERE processed_at IS NOT NULL) AS processed_count
FROM orders;</t>
  </si>
  <si>
    <t>employees(emp_id, hire_date, term_date)</t>
  </si>
  <si>
    <t>SELECT DATE_TRUNC('month', term_date) AS month,
  COUNT(*) AS terminations
FROM employees WHERE term_date IS NOT NULL
GROUP BY DATE_TRUNC('month', term_date) ORDER BY month;</t>
  </si>
  <si>
    <t>purchases(purchase_id, customer_id, amount, purchase_date)</t>
  </si>
  <si>
    <t>SELECT *, ROW_NUMBER() OVER (PARTITION BY customer_id ORDER BY amount DESC) AS rn
FROM purchases;</t>
  </si>
  <si>
    <t>SELECT TO_CHAR(order_date, 'YYYY-MM') AS year_month, COUNT(*) AS orders
FROM orders GROUP BY TO_CHAR(order_date, 'YYYY-MM') ORDER BY year_month;</t>
  </si>
  <si>
    <t>SELECT customer_id FROM orders
GROUP BY customer_id HAVING COUNT(DISTINCT DATE_TRUNC('month', order_date)) &gt;= 3;</t>
  </si>
  <si>
    <t>products(product_id, supplier_id, name), suppliers(supplier_id, supplier_name)</t>
  </si>
  <si>
    <t>SELECT p.name, s.supplier_name
FROM products p JOIN suppliers s ON p.supplier_id = s.supplier_id;</t>
  </si>
  <si>
    <t>orders(order_id, status), warehouse_id</t>
  </si>
  <si>
    <t>SELECT warehouse_id,
  100.0 * SUM(CASE WHEN status='fulfilled' THEN 1 ELSE 0 END)/COUNT(*) AS fulfillment_rate
FROM orders GROUP BY warehouse_id;</t>
  </si>
  <si>
    <t>customers(customer_id, name)</t>
  </si>
  <si>
    <t>SELECT * FROM customers WHERE name LIKE 'A%' OR name LIKE '%son';</t>
  </si>
  <si>
    <t>customers(customer_id, total_spent)</t>
  </si>
  <si>
    <t>SELECT customer_id,
  CASE WHEN total_spent &gt;= 10000 THEN 'VIP'
       WHEN total_spent &gt;= 1000 THEN 'Regular'
       ELSE 'New' END AS segment
FROM customers;</t>
  </si>
  <si>
    <t>SELECT
  SUM(CASE WHEN sale_date &gt;= CURRENT_DATE - INTERVAL '7 days' THEN amount END) AS this_week,
  SUM(CASE WHEN sale_date BETWEEN CURRENT_DATE - INTERVAL '14 days' AND CURRENT_DATE - INTERVAL '8 days' THEN amount END) AS last_week
FROM sales;</t>
  </si>
  <si>
    <t>sales(region, revenue, cost)</t>
  </si>
  <si>
    <t>SELECT region,
  100.0 * (SUM(revenue) - SUM(cost)) / NULLIF(SUM(revenue),0) AS profit_margin_pct
FROM sales GROUP BY region;</t>
  </si>
  <si>
    <t>projects(project_id, budget, actual_spend, deadline, end_date)</t>
  </si>
  <si>
    <t>SELECT project_id FROM projects
WHERE actual_spend &gt; budget OR end_date &gt; deadline;</t>
  </si>
  <si>
    <t>customer_regions(customer_id, region, effective_date)</t>
  </si>
  <si>
    <t>SELECT customer_id FROM customer_regions
GROUP BY customer_id HAVING COUNT(DISTINCT region) &gt; 1;</t>
  </si>
  <si>
    <t>content(content_id, views, engagements)</t>
  </si>
  <si>
    <t>SELECT content_id,
  100.0 * engagements / NULLIF(views,0) AS engagement_rate_pct
FROM content;</t>
  </si>
  <si>
    <t>flights(flight_id, capacity, tickets_sold)</t>
  </si>
  <si>
    <t>SELECT flight_id, tickets_sold - capacity AS overbooked_by
FROM flights WHERE tickets_sold &gt; capacity;</t>
  </si>
  <si>
    <t>plays(content_id, play_count)</t>
  </si>
  <si>
    <t>SELECT content_id, SUM(play_count) AS plays,
  RANK() OVER (ORDER BY SUM(play_count) DESC) AS popularity_rank
FROM plays GROUP BY content_id;</t>
  </si>
  <si>
    <t>posts(post_id, user_id, posted_at)</t>
  </si>
  <si>
    <t>SELECT user_id, COUNT(*) AS posts,
  MAX(posted_at) AS last_post_at
FROM posts GROUP BY user_id ORDER BY posts DESC;</t>
  </si>
  <si>
    <t>orders(order_date, amount)</t>
  </si>
  <si>
    <t>SELECT order_date, amount,
  SUM(amount) OVER (ORDER BY order_date) AS running_total
FROM orders;</t>
  </si>
  <si>
    <t>training(emp_id, course_id, completed)</t>
  </si>
  <si>
    <t>SELECT emp_id,
  100.0 * SUM(CASE WHEN completed THEN 1 ELSE 0 END)/COUNT(*) AS completion_rate
FROM training GROUP BY emp_id;</t>
  </si>
  <si>
    <t>orders(order_id, customer_id), returns(order_id)</t>
  </si>
  <si>
    <t>SELECT o.order_id, o.customer_id, r.order_id IS NOT NULL AS was_returned
FROM orders o LEFT JOIN returns r ON o.order_id = r.order_id;</t>
  </si>
  <si>
    <t>customers, transactions, referrals</t>
  </si>
  <si>
    <t>SELECT c.customer_id, c.name, t.txn_id, t.amount, r.referrer_id
FROM customers c
LEFT JOIN transactions t ON c.customer_id = t.customer_id
LEFT JOIN referrals r ON c.customer_id = r.referred_id;</t>
  </si>
  <si>
    <t>employees(emp_id, dept_id, salary), departments(dept_id, dept_name)</t>
  </si>
  <si>
    <t>SELECT e.emp_id, e.salary, d.dept_name
FROM employees e JOIN departments d ON e.dept_id = d.dept_id
WHERE e.salary &gt; 100000;</t>
  </si>
  <si>
    <t>inventory(product_id, qty_on_hand)</t>
  </si>
  <si>
    <t>SELECT product_id, qty_on_hand FROM inventory WHERE qty_on_hand &lt; 0;</t>
  </si>
  <si>
    <t>orders(order_id), order_items(order_id, qty)</t>
  </si>
  <si>
    <t>SELECT AVG(items_per_order) AS avg_basket_size
FROM (SELECT order_id, SUM(qty) AS items_per_order FROM order_items GROUP BY order_id) t;</t>
  </si>
  <si>
    <t>SELECT region, total FROM (
  SELECT region, SUM(amount) AS total FROM sales GROUP BY region
) s WHERE total &gt; (SELECT AVG(total) FROM (SELECT SUM(amount) AS total FROM sales GROUP BY region) x);</t>
  </si>
  <si>
    <t>orders(order_id, total)</t>
  </si>
  <si>
    <t>SELECT order_id,
  CASE WHEN total &lt; 50 THEN 'Small'
       WHEN total &lt; 500 THEN 'Medium' ELSE 'Large' END AS bucket
FROM orders;</t>
  </si>
  <si>
    <t>payments(payment_id, paid_amount, due_amount)</t>
  </si>
  <si>
    <t>SELECT payment_id, COALESCE(paid_amount,0) - COALESCE(due_amount,0) AS net FROM payments;</t>
  </si>
  <si>
    <t>logins(user_id, login_at)</t>
  </si>
  <si>
    <t>SELECT DATE(login_at) AS day, COUNT(DISTINCT user_id) AS daily_logins
FROM logins GROUP BY DATE(login_at);</t>
  </si>
  <si>
    <t>SELECT SPLIT_PART(email,'@',2) AS domain, COUNT(*) AS users
FROM users GROUP BY SPLIT_PART(email,'@',2) ORDER BY users DESC;</t>
  </si>
  <si>
    <t>orders(customer_id, amount)</t>
  </si>
  <si>
    <t>SELECT customer_id, COUNT(*) AS orders, SUM(amount) AS total
FROM orders GROUP BY customer_id HAVING SUM(amount) &gt; 1000;</t>
  </si>
  <si>
    <t>projects(project_id, start_date, end_date)</t>
  </si>
  <si>
    <t>SELECT a.project_id, b.project_id
FROM projects a JOIN projects b
  ON a.project_id &lt; b.project_id
 AND a.start_date &lt; b.end_date AND b.start_date &lt; a.end_date;</t>
  </si>
  <si>
    <t>candidates(candidate_id, name, skills_array)</t>
  </si>
  <si>
    <t>SELECT candidate_id, name FROM candidates
WHERE 'SQL' = ANY(skills_array) AND 'Python' = ANY(skills_array);</t>
  </si>
  <si>
    <t>pages(page_id, views, engagements)</t>
  </si>
  <si>
    <t>SELECT page_id FROM pages WHERE views &gt; 0 AND engagements = 0;</t>
  </si>
  <si>
    <t>tasks(task_id, status)</t>
  </si>
  <si>
    <t>SELECT * FROM tasks WHERE status &lt;&gt; 'complete';</t>
  </si>
  <si>
    <t>viewership(user_id, device_type, watch_time)</t>
  </si>
  <si>
    <t>SELECT device_type, COUNT(DISTINCT user_id) AS users, SUM(watch_time) AS total_watch
FROM viewership GROUP BY device_type;</t>
  </si>
  <si>
    <t>posts(user_id, posted_at)</t>
  </si>
  <si>
    <t>SELECT user_id, MAX(posted_at) AS last_post,
  CURRENT_DATE - MAX(posted_at)::date AS days_silent
FROM posts GROUP BY user_id HAVING CURRENT_DATE - MAX(posted_at)::date &gt; 30;</t>
  </si>
  <si>
    <t>messages(user_id, sent_at)</t>
  </si>
  <si>
    <t>SELECT user_id, COUNT(*) AS msgs FROM messages
WHERE sent_at &gt;= CURRENT_DATE - INTERVAL '7 days'
GROUP BY user_id ORDER BY msgs DESC LIMIT 10;</t>
  </si>
  <si>
    <t>jobs(job_id, title, company_id, posted_at)</t>
  </si>
  <si>
    <t>SELECT title, company_id, COUNT(*) AS dups FROM jobs
GROUP BY title, company_id HAVING COUNT(*) &gt; 1;</t>
  </si>
  <si>
    <t>trades(trade_id, city, status)</t>
  </si>
  <si>
    <t>SELECT DISTINCT city FROM trades WHERE status = 'completed';</t>
  </si>
  <si>
    <t>reviews(product_id, rating)</t>
  </si>
  <si>
    <t>SELECT product_id, AVG(rating) AS avg_rating, COUNT(*) AS review_count
FROM reviews GROUP BY product_id;</t>
  </si>
  <si>
    <t>employees(emp_id, salary)</t>
  </si>
  <si>
    <t>SELECT emp_id, salary FROM employees
WHERE salary &gt; (SELECT AVG(salary) FROM employees);</t>
  </si>
  <si>
    <t>transactions(account_id, txn_type, amount)</t>
  </si>
  <si>
    <t>SELECT account_id,
  SUM(CASE WHEN txn_type='credit' THEN amount ELSE -amount END) AS balance
FROM transactions GROUP BY account_id;</t>
  </si>
  <si>
    <t>app_events(user_id, event_type)</t>
  </si>
  <si>
    <t>SELECT
  100.0 * SUM(CASE WHEN event_type='click' THEN 1 ELSE 0 END) /
  NULLIF(SUM(CASE WHEN event_type='impression' THEN 1 ELSE 0 END),0) AS ctr_pct
FROM app_events;</t>
  </si>
  <si>
    <t>signups(user_id, signup_at, confirmed_at)</t>
  </si>
  <si>
    <t>SELECT AVG(EXTRACT(EPOCH FROM (confirmed_at - signup_at))/60) AS avg_minutes_to_confirm
FROM signups WHERE confirmed_at IS NOT NULL;</t>
  </si>
  <si>
    <t>queries(emp_id, query_at)</t>
  </si>
  <si>
    <t>SELECT emp_id, COUNT(*) AS query_count, MAX(query_at) AS last_query
FROM queries GROUP BY emp_id;</t>
  </si>
  <si>
    <t>cards_issued(issue_month, count)</t>
  </si>
  <si>
    <t>SELECT issue_month, count,
  count - LAG(count) OVER (ORDER BY issue_month) AS variance_vs_prev_month
FROM cards_issued;</t>
  </si>
  <si>
    <t>SELECT AVG(item_count) FROM (
  SELECT order_id, SUM(qty) AS item_count FROM order_items GROUP BY order_id) t;</t>
  </si>
  <si>
    <t>drugs(drug_id, name, revenue, cost)</t>
  </si>
  <si>
    <t>SELECT name, revenue - cost AS profit FROM drugs
ORDER BY profit DESC LIMIT 3;</t>
  </si>
  <si>
    <t>activity(user_id, action_count)</t>
  </si>
  <si>
    <t>SELECT
  CASE WHEN action_count = 0 THEN '0'
       WHEN action_count &lt;= 10 THEN '1-10'
       WHEN action_count &lt;= 100 THEN '11-100'
       ELSE '100+' END AS bucket,
  COUNT(*) AS users
FROM activity GROUP BY 1;</t>
  </si>
  <si>
    <t>sales(manufacturer, sale_date, revenue)</t>
  </si>
  <si>
    <t>SELECT manufacturer, EXTRACT(YEAR FROM sale_date) AS yr, SUM(revenue) AS annual_rev
FROM sales GROUP BY manufacturer, EXTRACT(YEAR FROM sale_date);</t>
  </si>
  <si>
    <t>customers(customer_id, last_purchase_date)</t>
  </si>
  <si>
    <t>SELECT customer_id FROM customers
WHERE last_purchase_date &gt;= CURRENT_DATE - INTERVAL '90 days';</t>
  </si>
  <si>
    <t>(Python task) sqlite + csv export</t>
  </si>
  <si>
    <t>-- Python pseudocode:
-- import sqlite3, csv
-- con = sqlite3.connect('db.sqlite'); rows = con.execute('SELECT * FROM t').fetchall()
-- with open('out.csv','w',newline='') as f: csv.writer(f).writerows(rows)</t>
  </si>
  <si>
    <t>revenue(year, amount)</t>
  </si>
  <si>
    <t>SELECT year, amount,
  100.0 * (amount - LAG(amount) OVER (ORDER BY year)) / NULLIF(LAG(amount) OVER (ORDER BY year),0) AS yoy_pct
FROM revenue;</t>
  </si>
  <si>
    <t>funnel(step, user_id, ts)</t>
  </si>
  <si>
    <t>SELECT step, COUNT(DISTINCT user_id) AS users,
  100.0 * COUNT(DISTINCT user_id) / FIRST_VALUE(COUNT(DISTINCT user_id)) OVER (ORDER BY step) AS pct_of_top
FROM funnel GROUP BY step ORDER BY step;</t>
  </si>
  <si>
    <t>applications(app_id, stage, applied_at)</t>
  </si>
  <si>
    <t>SELECT stage, COUNT(*) AS apps,
  100.0 * COUNT(*) / SUM(COUNT(*)) OVER () AS pct
FROM applications GROUP BY stage;</t>
  </si>
  <si>
    <t>products(product_id, price)</t>
  </si>
  <si>
    <t>SELECT * FROM products WHERE price &gt; (SELECT AVG(price) FROM products);</t>
  </si>
  <si>
    <t>price_history(product_id, change_date)</t>
  </si>
  <si>
    <t>SELECT product_id, COUNT(*) AS change_count
FROM price_history GROUP BY product_id HAVING COUNT(*) &gt; 5;</t>
  </si>
  <si>
    <t>SELECT dept_id, SUM(salary) AS total, AVG(salary) AS avg, COUNT(*) AS headcount
FROM employees GROUP BY dept_id;</t>
  </si>
  <si>
    <t>products(product_id, category)</t>
  </si>
  <si>
    <t>SELECT COUNT(DISTINCT category) AS distinct_categories FROM products;</t>
  </si>
  <si>
    <t>SELECT emp_id, salary,
  CASE WHEN salary &gt;= 100000 THEN 'High'
       WHEN salary &gt;= 50000 THEN 'Mid' ELSE 'Low' END AS band
FROM employees;</t>
  </si>
  <si>
    <t>SELECT sale_date, amount,
  SUM(amount) OVER (ORDER BY sale_date ROWS UNBOUNDED PRECEDING) AS cumulative
FROM sales;</t>
  </si>
  <si>
    <t>SELECT customer_id, COUNT(*) AS orders, SUM(amount) AS total
FROM orders GROUP BY customer_id HAVING COUNT(*) &gt;= 5 AND SUM(amount) &gt;= 1000;</t>
  </si>
  <si>
    <t>bookings(booking_id, room_id, start_dt, end_dt)</t>
  </si>
  <si>
    <t>SELECT a.booking_id, b.booking_id FROM bookings a JOIN bookings b
ON a.room_id = b.room_id AND a.booking_id &lt; b.booking_id
AND a.start_dt &lt; b.end_dt AND b.start_dt &lt; a.end_dt;</t>
  </si>
  <si>
    <t>sales(region, product, amount)</t>
  </si>
  <si>
    <t>SELECT region, product, SUM(amount) FROM sales
GROUP BY CUBE(region, product);</t>
  </si>
  <si>
    <t>projects(project_id, budget, spent)</t>
  </si>
  <si>
    <t>SELECT project_id, spent - budget AS over_budget FROM projects WHERE spent &gt; budget;</t>
  </si>
  <si>
    <t>employees(emp_id, performance_score, salary)</t>
  </si>
  <si>
    <t>SELECT emp_id,
  CASE WHEN performance_score &gt;= 90 THEN salary * 0.20
       WHEN performance_score &gt;= 75 THEN salary * 0.10
       ELSE 0 END AS bonus
FROM employees;</t>
  </si>
  <si>
    <t>orders_a(order_id), orders_b(order_id)</t>
  </si>
  <si>
    <t>SELECT order_id FROM orders_a INTERSECT SELECT order_id FROM orders_b;</t>
  </si>
  <si>
    <t>SELECT order_id, EXTRACT(YEAR FROM order_date) AS yr, EXTRACT(MONTH FROM order_date) AS mo FROM orders;</t>
  </si>
  <si>
    <t>downtime(server_id, start_ts, end_ts)</t>
  </si>
  <si>
    <t>SELECT server_id, SUM(EXTRACT(EPOCH FROM (end_ts - start_ts))/3600) AS total_hours
FROM downtime GROUP BY server_id;</t>
  </si>
  <si>
    <t>orders_q1(order_id), orders_q2(order_id)</t>
  </si>
  <si>
    <t>SELECT order_id FROM orders_q1 EXCEPT SELECT order_id FROM orders_q2;</t>
  </si>
  <si>
    <t>sales(rep_id, amount)</t>
  </si>
  <si>
    <t>SELECT rep_id, amount,
  PERCENT_RANK() OVER (ORDER BY amount) AS pct_rank,
  NTILE(100) OVER (ORDER BY amount) AS percentile
FROM sales;</t>
  </si>
  <si>
    <t>transactions(txn_id, amount)</t>
  </si>
  <si>
    <t>SELECT txn_id, amount FROM transactions
WHERE amount &gt; (SELECT AVG(amount) + 3*STDDEV(amount) FROM transactions)
   OR amount &lt; (SELECT AVG(amount) - 3*STDDEV(amount) FROM transactions);</t>
  </si>
  <si>
    <t>employees(emp_id, performance, tenure_yrs, salary)</t>
  </si>
  <si>
    <t>SELECT emp_id,
  CASE WHEN performance='A' AND tenure_yrs &gt;= 5 THEN salary*0.25
       WHEN performance='A' THEN salary*0.15
       WHEN performance='B' AND tenure_yrs &gt;= 5 THEN salary*0.10
       WHEN performance='B' THEN salary*0.05
       ELSE 0 END AS bonus
FROM employees;</t>
  </si>
  <si>
    <t>revenue(month, region, amount)</t>
  </si>
  <si>
    <t>SELECT month,
  SUM(CASE WHEN region='North' THEN amount END) AS north,
  SUM(CASE WHEN region='South' THEN amount END) AS south,
  SUM(CASE WHEN region='East'  THEN amount END) AS east,
  SUM(CASE WHEN region='West'  THEN amount END) AS west
FROM revenue GROUP BY month;</t>
  </si>
  <si>
    <t>SELECT customer_id, order_id, amount FROM orders o
WHERE amount = (SELECT MAX(amount) FROM orders WHERE customer_id = o.customer_id);</t>
  </si>
  <si>
    <t>active_users(user_id), inactive_users(user_id)</t>
  </si>
  <si>
    <t>SELECT user_id, 'active' AS status FROM active_users
UNION
SELECT user_id, 'inactive' FROM inactive_users;</t>
  </si>
  <si>
    <t>SELECT * FROM orders o
WHERE order_date = (SELECT MAX(order_date) FROM orders WHERE customer_id = o.customer_id);</t>
  </si>
  <si>
    <t>employees(emp_id), orders(emp_id)</t>
  </si>
  <si>
    <t>SELECT e.emp_id, COUNT(o.order_id) AS order_count
FROM employees e LEFT JOIN orders o ON e.emp_id = o.emp_id
GROUP BY e.emp_id;</t>
  </si>
  <si>
    <t>sales(category, product_id, revenue)</t>
  </si>
  <si>
    <t>SELECT s1.category, s1.product_id, s1.revenue
FROM sales s1
WHERE (SELECT COUNT(*) FROM sales s2
       WHERE s2.category = s1.category AND s2.revenue &gt; s1.revenue) &lt; 3;</t>
  </si>
  <si>
    <t>sales(year, region, amount)</t>
  </si>
  <si>
    <t>SELECT year,
  SUM(CASE WHEN region='NA' THEN amount END) AS na,
  SUM(CASE WHEN region='EU' THEN amount END) AS eu,
  SUM(CASE WHEN region='APAC' THEN amount END) AS apac
FROM sales GROUP BY year;</t>
  </si>
  <si>
    <t>orders(order_id, amount)</t>
  </si>
  <si>
    <t>SELECT order_id, amount, DENSE_RANK() OVER (ORDER BY amount DESC) AS rk FROM orders;</t>
  </si>
  <si>
    <t>events(user_id, event_type)</t>
  </si>
  <si>
    <t>SELECT
  COUNT(*) FILTER (WHERE event_type = 'click') AS clicks,
  COUNT(*) FILTER (WHERE event_type = 'view')  AS views
FROM events;</t>
  </si>
  <si>
    <t>employees, departments, projects</t>
  </si>
  <si>
    <t>SELECT e.name, d.dept_name, p.project_name
FROM employees AS e
JOIN departments AS d ON e.dept_id = d.dept_id
JOIN project_assignments AS pa ON e.emp_id = pa.emp_id
JOIN projects AS p ON pa.project_id = p.project_id;</t>
  </si>
  <si>
    <t>orders(order_id, priority, order_date)</t>
  </si>
  <si>
    <t>SELECT * FROM orders
ORDER BY CASE priority WHEN 'High' THEN 1 WHEN 'Med' THEN 2 ELSE 3 END, order_date;</t>
  </si>
  <si>
    <t>scores(student_id, exam, score, weight)</t>
  </si>
  <si>
    <t>SELECT student_id, SUM(score*weight)/SUM(weight) AS weighted_avg
FROM scores GROUP BY student_id;</t>
  </si>
  <si>
    <t>courses(course_id), instructors(course_id)</t>
  </si>
  <si>
    <t>SELECT c.course_id FROM courses c
LEFT JOIN instructors i ON c.course_id = i.course_id WHERE i.course_id IS NULL;</t>
  </si>
  <si>
    <t>employees(job_title, salary)</t>
  </si>
  <si>
    <t>SELECT job_title, PERCENTILE_CONT(0.5) WITHIN GROUP (ORDER BY salary) AS median_salary
FROM employees GROUP BY job_title;</t>
  </si>
  <si>
    <t>inventory(product_id, received_at, sold_at)</t>
  </si>
  <si>
    <t>SELECT product_id, AVG(EXTRACT(EPOCH FROM (sold_at - received_at))/86400) AS avg_cycle_days
FROM inventory WHERE sold_at IS NOT NULL GROUP BY product_id;</t>
  </si>
  <si>
    <t>customers(segment, customer_id), orders(customer_id, revenue, cost)</t>
  </si>
  <si>
    <t>SELECT c.segment, SUM(o.revenue - o.cost) AS profit
FROM customers c JOIN orders o ON c.customer_id = o.customer_id
GROUP BY c.segment ORDER BY profit DESC;</t>
  </si>
  <si>
    <t>records(id, email, phone)</t>
  </si>
  <si>
    <t>SELECT a.id, b.id, a.email FROM records a
JOIN records b ON a.email = b.email AND a.id &lt; b.id;</t>
  </si>
  <si>
    <t>SELECT metric_date, value,
  LAG(value) OVER (ORDER BY metric_date) AS prev,
  LEAD(value) OVER (ORDER BY metric_date) AS next
FROM metrics;</t>
  </si>
  <si>
    <t>users(user_id, tags_csv)</t>
  </si>
  <si>
    <t>SELECT TRIM(tag) AS tag, COUNT(*) AS users
FROM users, UNNEST(STRING_TO_ARRAY(tags_csv, ',')) AS tag
GROUP BY TRIM(tag);</t>
  </si>
  <si>
    <t>SELECT customer_id,
  COUNT(*) AS orders, SUM(amount) AS total, AVG(amount) AS avg, MAX(amount) AS max, MIN(amount) AS min
FROM orders GROUP BY customer_id;</t>
  </si>
  <si>
    <t>sales(month, amount)</t>
  </si>
  <si>
    <t>SELECT a.month, a.amount,
  b.amount AS prev_year_amount,
  a.amount - b.amount AS yoy_diff
FROM sales a LEFT JOIN sales b ON a.month = b.month + INTERVAL '1 year';</t>
  </si>
  <si>
    <t>customers, orders</t>
  </si>
  <si>
    <t>SELECT c.*, o.order_id, o.amount FROM customers c LEFT JOIN orders o ON c.customer_id = o.customer_id;</t>
  </si>
  <si>
    <t>WITH dept_avg AS (SELECT dept_id, AVG(salary) AS avg_sal FROM employees GROUP BY dept_id)
SELECT e.emp_id, e.salary, d.avg_sal, e.salary - d.avg_sal AS diff
FROM employees e JOIN dept_avg d ON e.dept_id = d.dept_id;</t>
  </si>
  <si>
    <t>salaries(salary)</t>
  </si>
  <si>
    <t>SELECT AVG(salary) AS median FROM (
  SELECT salary, ROW_NUMBER() OVER (ORDER BY salary) AS rn, COUNT(*) OVER () AS n FROM salaries
) t WHERE rn IN ((n+1)/2, (n+2)/2);</t>
  </si>
  <si>
    <t>products(product_id, category, price, name)</t>
  </si>
  <si>
    <t>SELECT * FROM products ORDER BY category ASC, price DESC, name ASC;</t>
  </si>
  <si>
    <t>SELECT category, product_id, revenue FROM (
  SELECT *, ROW_NUMBER() OVER (PARTITION BY category ORDER BY revenue DESC) rn FROM sales
) t WHERE rn &lt;= 3;</t>
  </si>
  <si>
    <t>sales(region, category, amount)</t>
  </si>
  <si>
    <t>SELECT region, category, SUM(amount) FROM sales GROUP BY region, category;</t>
  </si>
  <si>
    <t>orders(order_id, amount, status)</t>
  </si>
  <si>
    <t>SELECT order_id,
  CASE WHEN status='cancelled' THEN 'Refund'
       WHEN amount &gt; 1000 THEN 'High Value'
       ELSE 'Standard' END AS flag
FROM orders;</t>
  </si>
  <si>
    <t>employees(emp_id, performance, tenure_yrs)</t>
  </si>
  <si>
    <t>SELECT emp_id,
  CASE WHEN performance&gt;=90 AND tenure_yrs&gt;=2 THEN 'Eligible' ELSE 'Not Eligible' END AS bonus_status
FROM employees;</t>
  </si>
  <si>
    <t>orders(category), returns(order_id)</t>
  </si>
  <si>
    <t>SELECT o.category,
  100.0 * COUNT(r.order_id)/COUNT(*) AS return_rate
FROM orders o LEFT JOIN returns r ON o.order_id = r.order_id
GROUP BY o.category;</t>
  </si>
  <si>
    <t>sales(sale_ts, amount)</t>
  </si>
  <si>
    <t>SELECT EXTRACT(HOUR FROM sale_ts) AS hr, SUM(amount) AS total
FROM sales GROUP BY EXTRACT(HOUR FROM sale_ts) ORDER BY total DESC LIMIT 1;</t>
  </si>
  <si>
    <t>online_sales, retail_sales (same shape)</t>
  </si>
  <si>
    <t>SELECT 'online' AS channel, SUM(amount) FROM online_sales
UNION ALL
SELECT 'retail', SUM(amount) FROM retail_sales;</t>
  </si>
  <si>
    <t>SELECT * FROM orders WHERE amount BETWEEN 100 AND 1000 AND order_date IS NOT NULL;</t>
  </si>
  <si>
    <t>shipments(shipment_id, weight_kg, cost)</t>
  </si>
  <si>
    <t>SELECT shipment_id, cost / NULLIF(weight_kg,0) AS cost_per_kg
FROM shipments ORDER BY cost_per_kg;</t>
  </si>
  <si>
    <t>inventory(product_id, qty_on_hand, reorder_point)</t>
  </si>
  <si>
    <t>SELECT product_id FROM inventory WHERE qty_on_hand &lt;= reorder_point;</t>
  </si>
  <si>
    <t>shipments(supplier_id, scheduled_date, actual_date)</t>
  </si>
  <si>
    <t>SELECT supplier_id,
  100.0 * SUM(CASE WHEN actual_date &lt;= scheduled_date THEN 1 ELSE 0 END)/COUNT(*) AS on_time_pct,
  RANK() OVER (ORDER BY 100.0 * SUM(CASE WHEN actual_date &lt;= scheduled_date THEN 1 ELSE 0 END)/COUNT(*) DESC) AS rk
FROM shipments GROUP BY supplier_id;</t>
  </si>
  <si>
    <t>orders(customer_id, product_id)</t>
  </si>
  <si>
    <t>SELECT a.product_id AS p1, b.product_id AS p2, COUNT(*) AS pair_count
FROM orders a JOIN orders b ON a.customer_id = b.customer_id AND a.product_id &lt; b.product_id
GROUP BY a.product_id, b.product_id ORDER BY pair_count DESC LIMIT 10;</t>
  </si>
  <si>
    <t>regional_sales(product, north, south, east, west)</t>
  </si>
  <si>
    <t>SELECT product, 'North' AS region, north AS amount FROM regional_sales
UNION ALL SELECT product, 'South', south FROM regional_sales
UNION ALL SELECT product, 'East', east FROM regional_sales
UNION ALL SELECT product, 'West', west FROM regional_sales;</t>
  </si>
  <si>
    <t>productivity(emp_id, period, score)</t>
  </si>
  <si>
    <t>SELECT emp_id, period, score,
  AVG(score) OVER (PARTITION BY emp_id ORDER BY period ROWS BETWEEN 2 PRECEDING AND CURRENT ROW) AS rolling3
FROM productivity;</t>
  </si>
  <si>
    <t>forecasts(period, forecast, actual)</t>
  </si>
  <si>
    <t>SELECT period, ABS(forecast - actual)/NULLIF(actual,0) * 100 AS error_pct FROM forecasts;</t>
  </si>
  <si>
    <t>orders(order_id, original_total, discount), retro(order_id, retro_discount)</t>
  </si>
  <si>
    <t>SELECT o.order_id,
  o.original_total - COALESCE(o.discount,0) - COALESCE(r.retro_discount,0) AS final_total
FROM orders o LEFT JOIN retro r ON o.order_id = r.order_id;</t>
  </si>
  <si>
    <t>rooms, bookings</t>
  </si>
  <si>
    <t>SELECT 100.0 * COUNT(DISTINCT b.room_id) / (SELECT COUNT(*) FROM rooms) AS occupancy_pct
FROM bookings b WHERE b.start_date &lt;= CURRENT_DATE AND b.end_date &gt;= CURRENT_DATE;</t>
  </si>
  <si>
    <t>SELECT year, amount,
  100.0*(amount-LAG(amount) OVER (ORDER BY year))/NULLIF(LAG(amount) OVER (ORDER BY year),0) AS yoy_pct
FROM revenue;</t>
  </si>
  <si>
    <t>box_office(movie_id, week, gross)</t>
  </si>
  <si>
    <t>SELECT movie_id, week, gross,
  gross - LAG(gross) OVER (PARTITION BY movie_id ORDER BY week) AS week_change
FROM box_office;</t>
  </si>
  <si>
    <t>sessions(session_id, added_to_cart, checked_out)</t>
  </si>
  <si>
    <t>SELECT 100.0 * SUM(CASE WHEN added_to_cart AND NOT checked_out THEN 1 ELSE 0 END)
       / NULLIF(SUM(CASE WHEN added_to_cart THEN 1 ELSE 0 END),0) AS abandon_rate
FROM sessions;</t>
  </si>
  <si>
    <t>interviews(candidate_id, outcome)</t>
  </si>
  <si>
    <t>SELECT 100.0*SUM(CASE WHEN outcome='offer' THEN 1 ELSE 0 END)/COUNT(*) AS success_rate
FROM interviews;</t>
  </si>
  <si>
    <t>inventory(warehouse_id, category, qty)</t>
  </si>
  <si>
    <t>SELECT warehouse_id, category, SUM(qty) FROM inventory GROUP BY warehouse_id, category;</t>
  </si>
  <si>
    <t>SELECT region, product, SUM(amount) FROM sales
GROUP BY GROUPING SETS ((region, product), (region), (product), ());</t>
  </si>
  <si>
    <t>employees(emp_id, salary, projected_pct)</t>
  </si>
  <si>
    <t>SELECT emp_id, salary, salary*(1+projected_pct/100.0) AS projected FROM employees;</t>
  </si>
  <si>
    <t>customers(customer_id), orders(customer_id, amount)</t>
  </si>
  <si>
    <t>SELECT customer_id FROM (
  SELECT customer_id, SUM(amount) AS total FROM orders GROUP BY customer_id ORDER BY total DESC LIMIT 10
) t;</t>
  </si>
  <si>
    <t>reviews(review_id, sentiment_score)</t>
  </si>
  <si>
    <t>SELECT
  AVG(sentiment_score) AS avg,
  COUNT(*) FILTER (WHERE sentiment_score &gt; 0.5) AS positive,
  COUNT(*) FILTER (WHERE sentiment_score &lt; -0.5) AS negative
FROM reviews;</t>
  </si>
  <si>
    <t>orders(customer_id, freq_bucket)</t>
  </si>
  <si>
    <t>SELECT customer_id,
  COUNT(*) FILTER (WHERE freq_bucket='daily')   AS daily,
  COUNT(*) FILTER (WHERE freq_bucket='weekly')  AS weekly,
  COUNT(*) FILTER (WHERE freq_bucket='monthly') AS monthly
FROM orders GROUP BY customer_id;</t>
  </si>
  <si>
    <t>orders(product_id, status)</t>
  </si>
  <si>
    <t>SELECT product_id,
  100.0*SUM(CASE WHEN status='cancelled' THEN 1 ELSE 0 END)/COUNT(*) AS cancel_rate
FROM orders GROUP BY product_id HAVING 100.0*SUM(CASE WHEN status='cancelled' THEN 1 ELSE 0 END)/COUNT(*) &gt; 20;</t>
  </si>
  <si>
    <t>sales(campaign_id, amount), campaigns(campaign_id, name, spend)</t>
  </si>
  <si>
    <t>SELECT c.name, SUM(s.amount) AS revenue, c.spend, SUM(s.amount)/NULLIF(c.spend,0) AS roas
FROM campaigns c LEFT JOIN sales s ON c.campaign_id = s.campaign_id
GROUP BY c.name, c.spend;</t>
  </si>
  <si>
    <t>customers(customer_id, is_vip), orders(customer_id, amount)</t>
  </si>
  <si>
    <t>SELECT AVG(o.amount) AS vip_avg
FROM customers c JOIN orders o ON c.customer_id = o.customer_id WHERE c.is_vip;</t>
  </si>
  <si>
    <t>SELECT EXTRACT(MONTH FROM sale_date) AS mo, SUM(amount) AS total,
  RANK() OVER (ORDER BY SUM(amount) DESC) AS rk
FROM sales GROUP BY EXTRACT(MONTH FROM sale_date);</t>
  </si>
  <si>
    <t>bom(parent_id, child_id, qty)</t>
  </si>
  <si>
    <t>WITH RECURSIVE expanded AS (
  SELECT parent_id, child_id, qty FROM bom WHERE parent_id = :root
  UNION ALL
  SELECT b.parent_id, b.child_id, e.qty * b.qty
  FROM bom b JOIN expanded e ON b.parent_id = e.child_id)
SELECT child_id, SUM(qty) FROM expanded GROUP BY child_id;</t>
  </si>
  <si>
    <t>profit(period, amount)</t>
  </si>
  <si>
    <t>SELECT period, amount,
  AVG(amount) OVER (ORDER BY period ROWS BETWEEN 6 PRECEDING AND CURRENT ROW) AS rolling_7
FROM profit;</t>
  </si>
  <si>
    <t>users(user_id, signup_date), activity(user_id, action_date)</t>
  </si>
  <si>
    <t>SELECT 100.0 * COUNT(DISTINCT a.user_id) / COUNT(DISTINCT u.user_id) AS activation_rate
FROM users u LEFT JOIN activity a
  ON u.user_id=a.user_id AND a.action_date &lt;= u.signup_date + INTERVAL '7 days';</t>
  </si>
  <si>
    <t>transactions(user_id, txn_id)</t>
  </si>
  <si>
    <t>SELECT user_id FROM transactions
GROUP BY user_id HAVING COUNT(*) &gt;= 100;</t>
  </si>
  <si>
    <t>SELECT emp_id, dept_id, salary,
  RANK() OVER (PARTITION BY dept_id ORDER BY salary DESC) AS rk
FROM employees;</t>
  </si>
  <si>
    <t>messages(sender_id, receiver_id, sent_at)</t>
  </si>
  <si>
    <t>SELECT sender_id, COUNT(*) AS sent, COUNT(DISTINCT receiver_id) AS unique_recipients
FROM messages GROUP BY sender_id;</t>
  </si>
  <si>
    <t>posts(post_id, posted_date, likes, comments)</t>
  </si>
  <si>
    <t>SELECT posted_date, SUM(likes+comments) AS engagement,
  AVG(SUM(likes+comments)) OVER (ORDER BY posted_date ROWS BETWEEN 6 PRECEDING AND CURRENT ROW) AS rolling
FROM posts GROUP BY posted_date;</t>
  </si>
  <si>
    <t>orders(item_id, qty, price)</t>
  </si>
  <si>
    <t>SELECT item_id, SUM(qty*price) AS gross FROM orders
GROUP BY item_id ORDER BY gross DESC LIMIT 5;</t>
  </si>
  <si>
    <t>SELECT DISTINCT salary FROM employees ORDER BY salary DESC LIMIT 3;</t>
  </si>
  <si>
    <t>plays(user_id, song_id, played_at)</t>
  </si>
  <si>
    <t>SELECT user_id, song_id, played_at,
  COUNT(*) OVER (PARTITION BY user_id, song_id ORDER BY played_at) AS cumulative_plays
FROM plays;</t>
  </si>
  <si>
    <t>orders(customer_id, category)</t>
  </si>
  <si>
    <t>SELECT customer_id FROM orders
GROUP BY customer_id HAVING COUNT(DISTINCT category) = (SELECT COUNT(DISTINCT category) FROM orders);</t>
  </si>
  <si>
    <t>measurements(measurement_id, value)</t>
  </si>
  <si>
    <t>SELECT
  SUM(CASE WHEN measurement_id % 2 = 1 THEN value ELSE 0 END) AS odd_sum,
  SUM(CASE WHEN measurement_id % 2 = 0 THEN value ELSE 0 END) AS even_sum
FROM measurements;</t>
  </si>
  <si>
    <t>orders(order_id, customer_id, ordered_at)</t>
  </si>
  <si>
    <t>SELECT a.order_id, b.order_id AS next_order
FROM orders a JOIN orders b ON a.customer_id = b.customer_id AND b.ordered_at &gt; a.ordered_at;</t>
  </si>
  <si>
    <t>stocks(ticker, trade_date, price)</t>
  </si>
  <si>
    <t>SELECT ticker, MAX(price) AS hi, MIN(price) AS lo
FROM stocks WHERE ticker IN ('META','AAPL','AMZN','NFLX','GOOG') GROUP BY ticker;</t>
  </si>
  <si>
    <t>orders(customer_id, order_date)</t>
  </si>
  <si>
    <t>WITH d AS (SELECT DISTINCT customer_id, order_date FROM orders),
ranked AS (SELECT customer_id, order_date,
  order_date - (ROW_NUMBER() OVER (PARTITION BY customer_id ORDER BY order_date))::int AS grp FROM d)
SELECT customer_id, COUNT(*) AS streak FROM ranked GROUP BY customer_id, grp;</t>
  </si>
  <si>
    <t>orders(customer_id, order_id, order_date, total)</t>
  </si>
  <si>
    <t>SELECT * FROM (
  SELECT *, ROW_NUMBER() OVER (PARTITION BY customer_id ORDER BY order_date DESC) rn FROM orders
) t WHERE rn=1;</t>
  </si>
  <si>
    <t>orders(order_id, item_count)</t>
  </si>
  <si>
    <t>SELECT item_count FROM orders GROUP BY item_count
ORDER BY COUNT(*) DESC LIMIT 1;</t>
  </si>
  <si>
    <t>cards(card_id, launch_date, applications)</t>
  </si>
  <si>
    <t>SELECT launch_date, applications,
  applications - LAG(applications) OVER (ORDER BY launch_date) AS delta FROM cards;</t>
  </si>
  <si>
    <t>calls(call_id, is_international)</t>
  </si>
  <si>
    <t>SELECT 100.0 * SUM(CASE WHEN is_international THEN 1 ELSE 0 END)/COUNT(*) AS intl_pct FROM calls;</t>
  </si>
  <si>
    <t>calls(call_id, category)</t>
  </si>
  <si>
    <t>SELECT 100.0 * SUM(CASE WHEN category IS NULL OR category='' THEN 1 ELSE 0 END)/COUNT(*) AS uncat_pct
FROM calls;</t>
  </si>
  <si>
    <t>activity(user_id, action_date)</t>
  </si>
  <si>
    <t>SELECT DATE_TRUNC('month', action_date) AS month, COUNT(DISTINCT user_id) AS mau
FROM activity GROUP BY DATE_TRUNC('month', action_date);</t>
  </si>
  <si>
    <t>orders(customer_id, year, amount)</t>
  </si>
  <si>
    <t>WITH spend AS (SELECT customer_id, year, SUM(amount) AS total FROM orders GROUP BY customer_id, year)
SELECT customer_id, year, total,
  100.0*(total-LAG(total) OVER (PARTITION BY customer_id ORDER BY year)) /
   NULLIF(LAG(total) OVER (PARTITION BY customer_id ORDER BY year),0) AS yoy_growth
FROM spend;</t>
  </si>
  <si>
    <t>(Python task) paginated API → SQLite</t>
  </si>
  <si>
    <t>-- requests.get(...page=N) loop until empty, then sqlite3 con.executemany('INSERT...', rows)</t>
  </si>
  <si>
    <t>(Python task) SQL JOIN + pandas + CSV</t>
  </si>
  <si>
    <t>-- df = pd.read_sql('SELECT ... FROM a JOIN b ON ...', con); df.to_csv('out.csv', index=False)</t>
  </si>
  <si>
    <t>(Python task) CSV → SQLite insert</t>
  </si>
  <si>
    <t>-- pd.read_csv('in.csv').to_sql('t', con, if_exists='append', index=False)</t>
  </si>
  <si>
    <t>(Python task) SQL agg → pandas → Excel</t>
  </si>
  <si>
    <t>-- df = pd.read_sql('SELECT region, SUM(amount) FROM sales GROUP BY region', con); df.to_excel('out.xlsx')</t>
  </si>
  <si>
    <t>(Python task) Sync CSV → SQLite (upsert)</t>
  </si>
  <si>
    <t>-- For each CSV row: INSERT ... ON CONFLICT(product_id) DO UPDATE SET ...</t>
  </si>
  <si>
    <t>employees(emp_id, dept_id), departments(dept_id, dept_name)</t>
  </si>
  <si>
    <t>SELECT e.emp_id, d.dept_name FROM employees e JOIN departments d ON e.dept_id = d.dept_id
WHERE d.dept_name = 'Engineering';</t>
  </si>
  <si>
    <t>customers(customer_id, city)</t>
  </si>
  <si>
    <t>SELECT city, COUNT(*) AS customers FROM customers GROUP BY city;</t>
  </si>
  <si>
    <t>orders(customer_id)</t>
  </si>
  <si>
    <t>SELECT customer_id, COUNT(*) AS orders FROM orders GROUP BY customer_id;</t>
  </si>
  <si>
    <t>employees(salary)</t>
  </si>
  <si>
    <t>SELECT MAX(salary) FROM employees WHERE salary &lt; (SELECT MAX(salary) FROM employees);</t>
  </si>
  <si>
    <t>order_items(product_id, qty), products(product_id, name)</t>
  </si>
  <si>
    <t>SELECT p.name, SUM(oi.qty) AS units
FROM order_items oi JOIN products p ON oi.product_id = p.product_id
GROUP BY p.name ORDER BY units DESC LIMIT 5;</t>
  </si>
  <si>
    <t>sales(product_id, amount)</t>
  </si>
  <si>
    <t>SELECT product_id, SUM(amount) AS total,
  RANK() OVER (ORDER BY SUM(amount) DESC) AS rk
FROM sales GROUP BY product_id;</t>
  </si>
  <si>
    <t>SELECT dept_id, AVG(salary) AS dept_avg,
  (SELECT AVG(salary) FROM employees) AS overall_avg
FROM employees GROUP BY dept_id;</t>
  </si>
  <si>
    <t>SELECT * FROM customers c JOIN
(SELECT customer_id, SUM(amount) AS total FROM orders GROUP BY customer_id) o
ON c.customer_id = o.customer_id;</t>
  </si>
  <si>
    <t>sales(amount NUMERIC)</t>
  </si>
  <si>
    <t>SELECT CAST(amount AS DECIMAL(10,2)) AS amount_2dp FROM sales;</t>
  </si>
  <si>
    <t>orders(category, original_price, discounted_price)</t>
  </si>
  <si>
    <t>SELECT category,
  AVG(original_price) AS avg_orig,
  AVG(discounted_price) AS avg_disc,
  AVG(original_price - discounted_price) AS avg_savings
FROM orders GROUP BY category;</t>
  </si>
  <si>
    <t>employees, project_assignments</t>
  </si>
  <si>
    <t>SELECT e.emp_id, e.name, COUNT(pa.project_id) AS projects
FROM employees e LEFT JOIN project_assignments pa ON e.emp_id = pa.emp_id
GROUP BY e.emp_id, e.name;</t>
  </si>
  <si>
    <t>orders(order_id, ordered_at, delivered_at)</t>
  </si>
  <si>
    <t>SELECT AVG(EXTRACT(EPOCH FROM (delivered_at - ordered_at))/86400) AS avg_days FROM orders;</t>
  </si>
  <si>
    <t>calendar(d), events(d)</t>
  </si>
  <si>
    <t>SELECT c.d FROM calendar c LEFT JOIN events e ON c.d = e.d WHERE e.d IS NULL;</t>
  </si>
  <si>
    <t>customers(customer_id, age, gender), purchases(customer_id, amount)</t>
  </si>
  <si>
    <t>SELECT c.gender, c.age, SUM(p.amount) AS spend
FROM customers c JOIN purchases p ON c.customer_id = p.customer_id
GROUP BY c.gender, c.age;</t>
  </si>
  <si>
    <t>products(product_id, description)</t>
  </si>
  <si>
    <t>SELECT product_id, REGEXP_MATCHES(description, '\d+') AS numbers FROM products;</t>
  </si>
  <si>
    <t>users(user_id, name)</t>
  </si>
  <si>
    <t>SELECT UPPER(name) AS upper_name, LENGTH(name) AS len, LEFT(name,1) AS first_letter FROM users;</t>
  </si>
  <si>
    <t>orders(region, status, amount)</t>
  </si>
  <si>
    <t>SELECT region,
  SUM(CASE WHEN status='completed' THEN amount ELSE 0 END) AS completed_amt,
  SUM(CASE WHEN status='cancelled' THEN amount ELSE 0 END) AS cancelled_amt
FROM orders GROUP BY region;</t>
  </si>
  <si>
    <t>orders(customer_id, product)</t>
  </si>
  <si>
    <t>SELECT customer_id, STRING_AGG(product, ', ' ORDER BY product) AS products
FROM orders GROUP BY customer_id;</t>
  </si>
  <si>
    <t>SELECT metric_date, value,
  AVG(value) OVER (ORDER BY metric_date ROWS BETWEEN 6 PRECEDING AND CURRENT ROW) AS ma7
FROM metrics;</t>
  </si>
  <si>
    <t>logs(log_id)</t>
  </si>
  <si>
    <t>WITH ids AS (SELECT log_id, LAG(log_id) OVER (ORDER BY log_id) AS prev FROM logs)
SELECT prev+1 AS gap_start, log_id-1 AS gap_end FROM ids WHERE log_id - prev &gt; 1;</t>
  </si>
  <si>
    <t>enrollments(course_id, student_id)</t>
  </si>
  <si>
    <t>SELECT course_id, COUNT(*) AS enrolls,
  RANK() OVER (ORDER BY COUNT(*) DESC) AS rk
FROM enrollments GROUP BY course_id;</t>
  </si>
  <si>
    <t>enrollments(student_id, course_id, term)</t>
  </si>
  <si>
    <t>SELECT 100.0 * COUNT(DISTINCT b.student_id)/COUNT(DISTINCT a.student_id) AS reenroll_rate
FROM enrollments a JOIN enrollments b ON a.student_id=b.student_id AND b.term &gt; a.term;</t>
  </si>
  <si>
    <t>SELECT action_date, COUNT(DISTINCT user_id) AS dau FROM activity GROUP BY action_date;</t>
  </si>
  <si>
    <t>inventory(product_id, qty), sales_velocity(product_id, daily_avg)</t>
  </si>
  <si>
    <t>SELECT i.product_id, i.qty/NULLIF(s.daily_avg,0) AS days_left
FROM inventory i JOIN sales_velocity s ON i.product_id = s.product_id
WHERE i.qty/NULLIF(s.daily_avg,0) &lt; 14;</t>
  </si>
  <si>
    <t>shipments(supplier_id, on_time)</t>
  </si>
  <si>
    <t>SELECT supplier_id, 100.0 * SUM(CASE WHEN on_time THEN 1 ELSE 0 END)/COUNT(*) AS reliability
FROM shipments GROUP BY supplier_id ORDER BY reliability DESC;</t>
  </si>
  <si>
    <t>sales(region, product_id, amount)</t>
  </si>
  <si>
    <t>SELECT region, product_id, total FROM (
  SELECT region, product_id, SUM(amount) AS total,
    ROW_NUMBER() OVER (PARTITION BY region ORDER BY SUM(amount) DESC) rn
  FROM sales GROUP BY region, product_id) t WHERE rn &lt;= 3;</t>
  </si>
  <si>
    <t>orders(order_id, sku)</t>
  </si>
  <si>
    <t>SELECT * FROM orders WHERE sku LIKE 'PROMO-%' OR sku LIKE '%-2025';</t>
  </si>
  <si>
    <t>SELECT customer_id, COUNT(*) AS orders, SUM(amount) AS total FROM orders GROUP BY customer_id;</t>
  </si>
  <si>
    <t>campaigns, sales</t>
  </si>
  <si>
    <t>SELECT c.campaign_id, SUM(s.amount) AS revenue, c.budget,
  SUM(s.amount) - c.budget AS net
FROM campaigns c LEFT JOIN sales s ON c.campaign_id = s.campaign_id
GROUP BY c.campaign_id, c.budget;</t>
  </si>
  <si>
    <t>transactions(store_id, amount)</t>
  </si>
  <si>
    <t>SELECT store_id, AVG(amount) AS atv FROM transactions GROUP BY store_id;</t>
  </si>
  <si>
    <t>shipments(supplier_id, days_to_deliver)</t>
  </si>
  <si>
    <t>SELECT supplier_id, AVG(days_to_deliver) AS avg_days,
  RANK() OVER (ORDER BY AVG(days_to_deliver)) AS rk
FROM shipments GROUP BY supplier_id;</t>
  </si>
  <si>
    <t>subscriptions(customer_id, started_at, ended_at)</t>
  </si>
  <si>
    <t>SELECT 100.0 * SUM(CASE WHEN ended_at IS NOT NULL THEN 1 ELSE 0 END)/COUNT(*) AS churn_rate
FROM subscriptions;</t>
  </si>
  <si>
    <t>orders(order_id, customer_id, product_id), products(product_id, category)</t>
  </si>
  <si>
    <t>SELECT o.* FROM orders o
JOIN products p ON o.product_id = p.product_id AND p.category='Electronics' AND o.amount &gt; 500;</t>
  </si>
  <si>
    <t>SELECT region, SUM(amount) AS total FROM sales
GROUP BY region ORDER BY total DESC LIMIT 1;</t>
  </si>
  <si>
    <t>sales(region, seller_id, amount)</t>
  </si>
  <si>
    <t>SELECT region, seller_id, total FROM (
  SELECT region, seller_id, SUM(amount) AS total,
    RANK() OVER (PARTITION BY region ORDER BY SUM(amount) DESC) rk
  FROM sales GROUP BY region, seller_id) t WHERE rk = 1;</t>
  </si>
  <si>
    <t>orders(order_id, placed_at, completed_at)</t>
  </si>
  <si>
    <t>SELECT order_id, EXTRACT(EPOCH FROM (completed_at - placed_at))/3600 AS hrs
FROM orders WHERE EXTRACT(EPOCH FROM (completed_at - placed_at))/3600 &gt; 48;</t>
  </si>
  <si>
    <t>orders(order_id, list_price, discount_amount)</t>
  </si>
  <si>
    <t>SELECT SUM(list_price) AS gross,
  SUM(discount_amount) AS total_discounts,
  SUM(list_price-discount_amount) AS net
FROM orders;</t>
  </si>
  <si>
    <t>orders(status, amount)</t>
  </si>
  <si>
    <t>SELECT status, SUM(amount) AS revenue FROM orders GROUP BY status;</t>
  </si>
  <si>
    <t>daily_sales(d, region, amount)</t>
  </si>
  <si>
    <t>SELECT d, region, COALESCE(amount,0) AS amount FROM daily_sales;</t>
  </si>
  <si>
    <t>SELECT DATE_TRUNC('month', scheduled_date) AS mo,
  AVG(actual_date - scheduled_date) AS avg_delay_days
FROM shipments GROUP BY DATE_TRUNC('month', scheduled_date);</t>
  </si>
  <si>
    <t>traffic(week_start, visits)</t>
  </si>
  <si>
    <t>SELECT week_start, visits,
  100.0*(visits-LAG(visits) OVER (ORDER BY week_start))/NULLIF(LAG(visits) OVER (ORDER BY week_start),0) AS wow_pct
FROM traffic;</t>
  </si>
  <si>
    <t>inventory(product_id, received_at)</t>
  </si>
  <si>
    <t>SELECT product_id,
  CASE WHEN CURRENT_DATE - received_at &lt; 30 THEN '0-30'
       WHEN CURRENT_DATE - received_at &lt; 60 THEN '31-60'
       WHEN CURRENT_DATE - received_at &lt; 90 THEN '61-90'
       ELSE '90+' END AS aging_bucket
FROM inventory;</t>
  </si>
  <si>
    <t>feedback(feedback_date, rating)</t>
  </si>
  <si>
    <t>SELECT DATE_TRUNC('week', feedback_date) AS wk, AVG(rating) AS avg_rating
FROM feedback GROUP BY DATE_TRUNC('week', feedback_date);</t>
  </si>
  <si>
    <t>invoices(invoice_id, due_date, paid_date)</t>
  </si>
  <si>
    <t>SELECT invoice_id, paid_date - due_date AS days_late
FROM invoices WHERE paid_date &gt; due_date;</t>
  </si>
  <si>
    <t>loans(loan_id, default_flag, principal)</t>
  </si>
  <si>
    <t>SELECT 100.0 * SUM(CASE WHEN default_flag THEN principal ELSE 0 END)/SUM(principal) AS default_rate_pct
FROM loans;</t>
  </si>
  <si>
    <t>subscriptions(period, new_subs, cancelled_subs)</t>
  </si>
  <si>
    <t>SELECT period, new_subs - cancelled_subs AS net,
  SUM(new_subs - cancelled_subs) OVER (ORDER BY period) AS cumulative_subs
FROM subscriptions;</t>
  </si>
  <si>
    <t>flights(flight_id, route, delay_minutes)</t>
  </si>
  <si>
    <t>SELECT route, AVG(delay_minutes) AS avg_delay,
  COUNT(*) FILTER (WHERE delay_minutes &gt; 30) AS late_flights
FROM flights GROUP BY route;</t>
  </si>
  <si>
    <t>downloads(book_id, user_id)</t>
  </si>
  <si>
    <t>SELECT a.book_id AS b1, b.book_id AS b2, COUNT(*) AS pair_count
FROM downloads a JOIN downloads b ON a.user_id = b.user_id AND a.book_id &lt; b.book_id
GROUP BY a.book_id, b.book_id;</t>
  </si>
  <si>
    <t>network(month, members)</t>
  </si>
  <si>
    <t>SELECT month, members,
  100.0*(members-LAG(members) OVER (ORDER BY month))/NULLIF(LAG(members) OVER (ORDER BY month),0) AS mom_growth
FROM network;</t>
  </si>
  <si>
    <t>products(product_id, profit_margin)</t>
  </si>
  <si>
    <t>SELECT product_id, profit_margin,
  DENSE_RANK() OVER (ORDER BY profit_margin DESC) AS rk
FROM products;</t>
  </si>
  <si>
    <t>employees(manager_id, term_date)</t>
  </si>
  <si>
    <t>SELECT manager_id,
  EXTRACT(YEAR FROM term_date) AS yr,
  COUNT(*) AS turnover
FROM employees WHERE term_date IS NOT NULL
GROUP BY manager_id, EXTRACT(YEAR FROM term_date);</t>
  </si>
  <si>
    <t>requisitions(req_id, opened_at, filled_at)</t>
  </si>
  <si>
    <t>SELECT AVG(filled_at - opened_at) AS avg_cycle_days FROM requisitions WHERE filled_at IS NOT NULL;</t>
  </si>
  <si>
    <t>purchases(customer_id, amount)</t>
  </si>
  <si>
    <t>SELECT customer_id, amount FROM purchases p
WHERE amount &gt; (SELECT AVG(amount) FROM purchases WHERE customer_id = p.customer_id);</t>
  </si>
  <si>
    <t>sales(region, year, amount)</t>
  </si>
  <si>
    <t>WITH agg AS (SELECT region, year, SUM(amount) AS total FROM sales GROUP BY region, year)
SELECT region, year, total,
  total - LAG(total) OVER (PARTITION BY region ORDER BY year) AS yoy_change
FROM agg;</t>
  </si>
  <si>
    <t>SELECT a.order_id, b.order_id, b.order_date - a.order_date AS gap
FROM orders a JOIN orders b ON a.customer_id = b.customer_id AND a.order_id &lt; b.order_id;</t>
  </si>
  <si>
    <t>SELECT supplier_id, AVG(CASE WHEN on_time THEN 1.0 ELSE 0 END) AS rate,
  RANK() OVER (ORDER BY AVG(CASE WHEN on_time THEN 1.0 ELSE 0 END) DESC) AS rk
FROM shipments GROUP BY supplier_id;</t>
  </si>
  <si>
    <t>prices(product_id, region, price)</t>
  </si>
  <si>
    <t>SELECT product_id,
  MAX(CASE WHEN region='US' THEN price END) AS us_price,
  MAX(CASE WHEN region='EU' THEN price END) AS eu_price,
  MAX(CASE WHEN region='APAC' THEN price END) AS apac_price
FROM prices GROUP BY product_id;</t>
  </si>
  <si>
    <t>SELECT customer_id, order_date,
  order_date - LAG(order_date) OVER (PARTITION BY customer_id ORDER BY order_date) AS gap_days
FROM orders;</t>
  </si>
  <si>
    <t>products(category, attribute_json) -- conceptual</t>
  </si>
  <si>
    <t>-- Build dynamically: SELECT col1, col2 ... where columns vary per category
-- Implemented at app layer or via PIVOT/UNPIVOT extensions</t>
  </si>
  <si>
    <t>orders(product_id), returns(order_id)</t>
  </si>
  <si>
    <t>SELECT o.product_id,
  100.0*COUNT(r.order_id)/COUNT(*) AS return_pct
FROM orders o LEFT JOIN returns r ON o.order_id = r.order_id
GROUP BY o.product_id;</t>
  </si>
  <si>
    <t>SELECT customer_id, COUNT(*) AS n, SUM(amount) AS total
FROM orders GROUP BY customer_id HAVING COUNT(*) &gt; 5 AND SUM(amount) &gt; 500;</t>
  </si>
  <si>
    <t>campaigns(campaign_id, spend), conversions(campaign_id, customer_id)</t>
  </si>
  <si>
    <t>SELECT c.campaign_id, c.spend / NULLIF(COUNT(DISTINCT cv.customer_id),0) AS cpa
FROM campaigns c LEFT JOIN conversions cv ON c.campaign_id = cv.campaign_id
GROUP BY c.campaign_id, c.spend;</t>
  </si>
  <si>
    <t>SELECT dept_id,
  SUM(salary) AS total, AVG(salary) AS avg,
  STDDEV(salary) AS sd, COUNT(*) AS headcount
FROM employees GROUP BY dept_id;</t>
  </si>
  <si>
    <t>MERGE INTO employees e
USING departments d ON e.dept_id = d.dept_id
WHEN MATCHED THEN UPDATE SET e.dept_name = d.dept_name
WHEN NOT MATCHED THEN INSERT (emp_id, name, dept_id) VALUES (...);
-- ANSI MERGE; for PG use INSERT ... ON CONFLICT</t>
  </si>
  <si>
    <t>SELECT product_id, name, price,
  ROW_NUMBER() OVER (ORDER BY price ASC) AS price_rank
FROM products;</t>
  </si>
  <si>
    <t>SELECT rep_id, SUM(amount) AS total,
  DENSE_RANK() OVER (ORDER BY SUM(amount) DESC) AS rk
FROM sales GROUP BY rep_id;</t>
  </si>
  <si>
    <t>WITH RECURSIVE org AS (
  SELECT emp_id, name, manager_id, 1 AS lvl, name::text AS path
  FROM employees WHERE manager_id IS NULL
  UNION ALL
  SELECT e.emp_id, e.name, e.manager_id, o.lvl+1, o.path || ' &gt; ' || e.name
  FROM employees e JOIN org o ON e.manager_id = o.emp_id)
SELECT emp_id, name, lvl, path FROM org ORDER BY lvl, name;</t>
  </si>
  <si>
    <t>warehouses(warehouse_id, capacity, used)</t>
  </si>
  <si>
    <t>SELECT warehouse_id, capacity, used, capacity-used AS available,
  100.0*used/NULLIF(capacity,0) AS utilization_pct
FROM warehouses WHERE 100.0*used/NULLIF(capacity,0) &gt; 80;</t>
  </si>
  <si>
    <t>searches(query, freq)</t>
  </si>
  <si>
    <t>SELECT PERCENTILE_CONT(0.5) WITHIN GROUP (ORDER BY freq) AS median_freq FROM searches;</t>
  </si>
  <si>
    <t>ads(ad_id, status, last_active_date)</t>
  </si>
  <si>
    <t>UPDATE ads SET status='inactive'
WHERE last_active_date &lt; CURRENT_DATE - INTERVAL '30 days' AND status='active';</t>
  </si>
  <si>
    <t>filings(user_id, filed_date)</t>
  </si>
  <si>
    <t>WITH ranked AS (
  SELECT user_id, filed_date,
    filed_date - (ROW_NUMBER() OVER (PARTITION BY user_id ORDER BY filed_date))::int AS grp
  FROM filings)
SELECT user_id, COUNT(*) AS streak FROM ranked GROUP BY user_id, grp HAVING COUNT(*) &gt;= 3;</t>
  </si>
  <si>
    <t>touches(customer_id, channel, ts)</t>
  </si>
  <si>
    <t>SELECT customer_id FROM (
  SELECT customer_id, channel, ts,
    LAG(channel) OVER (PARTITION BY customer_id ORDER BY ts) AS prev
  FROM touches) t
WHERE channel = prev GROUP BY customer_id HAVING COUNT(*) &gt;= 3;</t>
  </si>
  <si>
    <t>toppings(topping)</t>
  </si>
  <si>
    <t>SELECT a.topping AS t1, b.topping AS t2, c.topping AS t3
FROM toppings a JOIN toppings b ON a.topping &lt; b.topping
JOIN toppings c ON b.topping &lt; c.topping;</t>
  </si>
  <si>
    <t>calls(caller_id, call_at)</t>
  </si>
  <si>
    <t>SELECT DISTINCT a.caller_id FROM calls a JOIN calls b
ON a.caller_id = b.caller_id AND a.call_at &lt; b.call_at
AND b.call_at &lt;= a.call_at + INTERVAL '7 days';</t>
  </si>
  <si>
    <t>calls(call_at, duration_sec)</t>
  </si>
  <si>
    <t>WITH m AS (
  SELECT DATE_TRUNC('month', call_at) AS mo,
    COUNT(*) FILTER (WHERE duration_sec &gt; 600) AS long_calls
  FROM calls GROUP BY DATE_TRUNC('month', call_at))
SELECT mo, long_calls,
  100.0*(long_calls - LAG(long_calls) OVER (ORDER BY mo))/NULLIF(LAG(long_calls) OVER (ORDER BY mo),0) AS growth_pct
FROM m;</t>
  </si>
  <si>
    <t>payments(user_id, amount, paid_at)</t>
  </si>
  <si>
    <t>SELECT user_id, amount, COUNT(*) AS times_paid
FROM payments GROUP BY user_id, amount HAVING COUNT(*) &gt; 1;</t>
  </si>
  <si>
    <t>WITH gaps AS (
  SELECT user_id, action_date,
    LAG(action_date) OVER (PARTITION BY user_id ORDER BY action_date) AS prev
  FROM (SELECT DISTINCT user_id, action_date FROM activity) d)
SELECT DATE_TRUNC('month', action_date) AS month, COUNT(DISTINCT user_id) AS reactivated
FROM gaps WHERE action_date - prev &gt; INTERVAL '30 days'
GROUP BY DATE_TRUNC('month', action_date);</t>
  </si>
  <si>
    <t>employees(emp_id, manager_id, level)</t>
  </si>
  <si>
    <t>WITH RECURSIVE chain AS (
  SELECT emp_id, manager_id, 1 AS depth FROM employees WHERE level='Senior Manager'
  UNION ALL
  SELECT e.emp_id, e.manager_id, c.depth+1
  FROM employees e JOIN chain c ON e.manager_id = c.emp_id)
SELECT manager_id, COUNT(*) AS reports FROM chain GROUP BY manager_id;</t>
  </si>
  <si>
    <t>server_status(server_id, status, ts)</t>
  </si>
  <si>
    <t>SELECT server_id,
  100.0 * SUM(CASE WHEN status='up' THEN 1 ELSE 0 END)/COUNT(*) AS uptime_pct
FROM server_status GROUP BY server_id;</t>
  </si>
  <si>
    <t>(Python task) merge multiple sources → unified report</t>
  </si>
  <si>
    <t>-- pandas: pd.concat([df1,df2,df3], ignore_index=True).groupby(...).sum().to_excel('report.xlsx')</t>
  </si>
  <si>
    <t>(Python task) SQLite → Parquet with metadata</t>
  </si>
  <si>
    <t>-- df = pd.read_sql('SELECT * FROM t', con); df.to_parquet('out.parquet', engine='pyarrow', compression='snappy')</t>
  </si>
  <si>
    <t>products(category, price)</t>
  </si>
  <si>
    <t>SELECT category, AVG(price) AS avg_price FROM products
GROUP BY category ORDER BY avg_price DESC LIMIT 5;</t>
  </si>
  <si>
    <t>products(product_id, classification)</t>
  </si>
  <si>
    <t>SELECT COUNT(DISTINCT classification) AS distinct_classes FROM products;</t>
  </si>
  <si>
    <t>SELECT product_id,
  CASE WHEN price &lt; 10 THEN 'Cheap'
       WHEN price &lt; 100 THEN 'Standard'
       WHEN price &lt; 1000 THEN 'Premium'
       ELSE 'Luxury' END AS price_band
FROM products;</t>
  </si>
  <si>
    <t>orders_jan(order_id), orders_feb(order_id)</t>
  </si>
  <si>
    <t>SELECT order_id FROM orders_jan EXCEPT SELECT order_id FROM orders_feb;</t>
  </si>
  <si>
    <t>orders(order_id, customer_id, year, amount)</t>
  </si>
  <si>
    <t>SELECT customer_id,
  SUM(CASE WHEN year=2024 THEN amount END) AS y2024,
  SUM(CASE WHEN year=2025 THEN amount END) AS y2025,
  SUM(CASE WHEN year=2026 THEN amount END) AS y2026
FROM orders GROUP BY customer_id;</t>
  </si>
  <si>
    <t>appointments(appt_id, doctor_id, start_ts, end_ts)</t>
  </si>
  <si>
    <t>SELECT a.appt_id, b.appt_id FROM appointments a JOIN appointments b
ON a.doctor_id = b.doctor_id AND a.appt_id &lt; b.appt_id
AND a.start_ts &lt; b.end_ts AND b.start_ts &lt; a.end_ts;</t>
  </si>
  <si>
    <t>employees, project_assignments, projects</t>
  </si>
  <si>
    <t>SELECT e.emp_id, e.name,
  COUNT(DISTINCT p.project_id) AS active_projects,
  e.base_salary + 1000 * COUNT(DISTINCT p.project_id) AS total_comp
FROM employees e
LEFT JOIN project_assignments pa ON e.emp_id = pa.emp_id
LEFT JOIN projects p ON pa.project_id = p.project_id AND p.status='active'
GROUP BY e.emp_id, e.name, e.base_salary;</t>
  </si>
  <si>
    <t>sales(channel, sale_date, amount)</t>
  </si>
  <si>
    <t>WITH monthly AS (
  SELECT channel, DATE_TRUNC('month', sale_date) AS mo, SUM(amount) AS total
  FROM sales GROUP BY channel, DATE_TRUNC('month', sale_date))
SELECT channel, mo, total,
  AVG(total) OVER (PARTITION BY channel ORDER BY mo ROWS BETWEEN 2 PRECEDING AND CURRENT ROW) AS rolling_3mo,
  100.0*(total-LAG(total) OVER (PARTITION BY channel ORDER BY mo))/NULLIF(LAG(total) OVER (PARTITION BY channel ORDER BY mo),0) AS mom_pct
FROM monthly;</t>
  </si>
  <si>
    <t>Tech</t>
  </si>
  <si>
    <t>Subtopic</t>
  </si>
  <si>
    <t>Debug SSH Lockout</t>
  </si>
  <si>
    <t>Recursive Keyword Finder</t>
  </si>
  <si>
    <t>Docker Multi-Architecture Image</t>
  </si>
  <si>
    <t>Aggregation</t>
  </si>
  <si>
    <t>Joins</t>
  </si>
  <si>
    <t>Basic</t>
  </si>
  <si>
    <t>Data Manipulation</t>
  </si>
  <si>
    <t>Advanced</t>
  </si>
  <si>
    <t>Python</t>
  </si>
  <si>
    <t>Filter Popular Videos on a Streaming Platform</t>
  </si>
  <si>
    <t>Filtering</t>
  </si>
  <si>
    <t>Replace Keywords in Social Media Post Text</t>
  </si>
  <si>
    <t>String Replacement</t>
  </si>
  <si>
    <t>Filter Movies with Missing Box Office Data</t>
  </si>
  <si>
    <t>Null Handling</t>
  </si>
  <si>
    <t>Daily Category Sales</t>
  </si>
  <si>
    <t>Filter and Uppercase Artifacts</t>
  </si>
  <si>
    <t>String Transformation</t>
  </si>
  <si>
    <t>Combine Customer Orders and Products</t>
  </si>
  <si>
    <t>Anonymize User PII Data for a Social Media Platform</t>
  </si>
  <si>
    <t>String Functions</t>
  </si>
  <si>
    <t>Product Sales and Inventory Data</t>
  </si>
  <si>
    <t>Products and Duplicates</t>
  </si>
  <si>
    <t>Deduplication</t>
  </si>
  <si>
    <t>Mortgage Rate Calculator</t>
  </si>
  <si>
    <t>Weekend Order Detection</t>
  </si>
  <si>
    <t>Datetime Operations</t>
  </si>
  <si>
    <t>Flooring Company Data</t>
  </si>
  <si>
    <t>Rank Top Products by Revenue per Category</t>
  </si>
  <si>
    <t>Windows Functions</t>
  </si>
  <si>
    <t>Highest SEO Score Pages per Domain</t>
  </si>
  <si>
    <t>Math Expressions</t>
  </si>
  <si>
    <t>Regular Expressions</t>
  </si>
  <si>
    <t>CSV and Partitions</t>
  </si>
  <si>
    <t>DataFrame</t>
  </si>
  <si>
    <t>Repartition</t>
  </si>
  <si>
    <t>Broadcast Join</t>
  </si>
  <si>
    <t>Correcting Social Media Posts</t>
  </si>
  <si>
    <t>Daily Category Sales Aggregation</t>
  </si>
  <si>
    <t>Aggregate Functions</t>
  </si>
  <si>
    <t>Cache and Performance</t>
  </si>
  <si>
    <t>Filter Popular Videos</t>
  </si>
  <si>
    <t>Anonymize User PII</t>
  </si>
  <si>
    <t>Call Center Daily Stats</t>
  </si>
  <si>
    <t>Venture Capital Sector Analysis</t>
  </si>
  <si>
    <t>Window Functions without Partitions</t>
  </si>
  <si>
    <t>Calculating PE Portfolio Values</t>
  </si>
  <si>
    <t>Mountain Climber Logs</t>
  </si>
  <si>
    <t>Window Functions</t>
  </si>
  <si>
    <t>Global &amp; Domain SEO Leaders</t>
  </si>
  <si>
    <t>Tracking Customer Purchase History</t>
  </si>
  <si>
    <t>Contains Duplicate</t>
  </si>
  <si>
    <t>Arrays</t>
  </si>
  <si>
    <t>Valid Anagram</t>
  </si>
  <si>
    <t>Hash Tables</t>
  </si>
  <si>
    <t>Two Sum</t>
  </si>
  <si>
    <t>Valid Palindrome</t>
  </si>
  <si>
    <t>Two Pointers</t>
  </si>
  <si>
    <t>Valid Parentheses</t>
  </si>
  <si>
    <t>Stacks</t>
  </si>
  <si>
    <t>Binary Search</t>
  </si>
  <si>
    <t>Merge Two Sorted Lists</t>
  </si>
  <si>
    <t>Linked Lists</t>
  </si>
  <si>
    <t>Invert Binary Tree</t>
  </si>
  <si>
    <t>Trees</t>
  </si>
  <si>
    <t>Maximum Depth of Binary Tree</t>
  </si>
  <si>
    <t>Diameter of Binary Tree</t>
  </si>
  <si>
    <t>Balanced Binary Tree</t>
  </si>
  <si>
    <t>Same Tree</t>
  </si>
  <si>
    <t>Subtree of Another Tree</t>
  </si>
  <si>
    <t>Group Anagrams</t>
  </si>
  <si>
    <t>Top K Frequent Elements</t>
  </si>
  <si>
    <t>Product of Array Except Self</t>
  </si>
  <si>
    <t>Longest Consecutive Sequence</t>
  </si>
  <si>
    <t>Two Sum II - Input Array Is Sorted</t>
  </si>
  <si>
    <t>Three Sum</t>
  </si>
  <si>
    <t>Container With Most Water</t>
  </si>
  <si>
    <t>Longest Substring Without Repeating Characters</t>
  </si>
  <si>
    <t>Longest Repeating Character Replacement</t>
  </si>
  <si>
    <t>Permutation in String</t>
  </si>
  <si>
    <t>Daily Temperatures</t>
  </si>
  <si>
    <t>Car Fleet</t>
  </si>
  <si>
    <t>Search a 2D Matrix</t>
  </si>
  <si>
    <t>Koko Eating Bananas</t>
  </si>
  <si>
    <t>Find Minimum in Rotated Sorted Array</t>
  </si>
  <si>
    <t>DSA</t>
  </si>
  <si>
    <t>Search in Rotated Sorted Array</t>
  </si>
  <si>
    <t>Remove Nth Node From End of List</t>
  </si>
  <si>
    <t>Add Two Numbers</t>
  </si>
  <si>
    <t>Lowest Common Ancestor of a BST</t>
  </si>
  <si>
    <t>Binary Tree Level Order Traversal</t>
  </si>
  <si>
    <t>Validate Binary Search Tree</t>
  </si>
  <si>
    <t>Kth Smallest Element in a BST</t>
  </si>
  <si>
    <t>K Closest Points to Origin</t>
  </si>
  <si>
    <t>Kth Largest Element in an Array</t>
  </si>
  <si>
    <t>Task Scheduler</t>
  </si>
  <si>
    <t>Combination Sum</t>
  </si>
  <si>
    <t>Permutations</t>
  </si>
  <si>
    <t>Number of Islands</t>
  </si>
  <si>
    <t>Course Schedule II</t>
  </si>
  <si>
    <t>DFS</t>
  </si>
  <si>
    <t>Graph Valid Tree</t>
  </si>
  <si>
    <t>Network Delay Time</t>
  </si>
  <si>
    <t>Jump Game</t>
  </si>
  <si>
    <t>Jump Game II</t>
  </si>
  <si>
    <t>Gas Station</t>
  </si>
  <si>
    <t>Partition Labels</t>
  </si>
  <si>
    <t>Strings</t>
  </si>
  <si>
    <t>Create Branch from Detached HEAD State</t>
  </si>
  <si>
    <t>Rebase Feature Branch</t>
  </si>
  <si>
    <t>Apply Specific Stash from Multiple Stashes</t>
  </si>
  <si>
    <t>Remove Last Commit and Discard Changes</t>
  </si>
  <si>
    <t>Checkout Single File from Another Branch</t>
  </si>
  <si>
    <t>Cherry-Pick Specific Commit</t>
  </si>
  <si>
    <t>Restore File to Previous Version</t>
  </si>
  <si>
    <t>Create an Annotated Tag</t>
  </si>
  <si>
    <t>Add Git Submodule</t>
  </si>
  <si>
    <t>Update Submodule to Latest Commit</t>
  </si>
  <si>
    <t>Stash Work, Fix Bug, Restore and Update</t>
  </si>
  <si>
    <t>Remove File from Entire Git History</t>
  </si>
  <si>
    <t>Merge Repositories Preserving Both Histories</t>
  </si>
  <si>
    <t>Fix Repository with Unrelated Histories</t>
  </si>
  <si>
    <t>Recover Lost Commits from Detached HEAD</t>
  </si>
  <si>
    <t>Merge Customer Records from Two Sources</t>
  </si>
  <si>
    <t>Combining Data</t>
  </si>
  <si>
    <t>Filter Funded Startups</t>
  </si>
  <si>
    <t>Assign Row Numbers to Authors per Paper</t>
  </si>
  <si>
    <t>Amusement Park Rating Anomalies</t>
  </si>
  <si>
    <t>Usage and Accuracy per Model Type</t>
  </si>
  <si>
    <t>Find the Last Climber per Mountain</t>
  </si>
  <si>
    <t>Track Product Purchases</t>
  </si>
  <si>
    <t>Most Common Order Status</t>
  </si>
  <si>
    <t>Calculating Overtime Pay</t>
  </si>
  <si>
    <t>Top Products by Revenue</t>
  </si>
  <si>
    <t>Product Summary</t>
  </si>
  <si>
    <t>Parsing Comma-Separated Values</t>
  </si>
  <si>
    <t>String Manipulation</t>
  </si>
  <si>
    <t>Number of Connected Components in an Undirected Graph</t>
  </si>
  <si>
    <t>Course Schedule</t>
  </si>
  <si>
    <t>Walls and Gates</t>
  </si>
  <si>
    <t>Surrounded Regions</t>
  </si>
  <si>
    <t>Pacific Atlantic Water Flow</t>
  </si>
  <si>
    <t>Max Area of Island</t>
  </si>
  <si>
    <t>Clone Graph</t>
  </si>
  <si>
    <t>Subsets</t>
  </si>
  <si>
    <t>Binary Tree Right Side View</t>
  </si>
  <si>
    <t>Linked List Cycle</t>
  </si>
  <si>
    <t>Copy List with Random Pointer</t>
  </si>
  <si>
    <t>Reorder List</t>
  </si>
  <si>
    <t>Reverse Linked List</t>
  </si>
  <si>
    <t>Evaluate Reverse Polish Notation</t>
  </si>
  <si>
    <t>Min Stack</t>
  </si>
  <si>
    <t>LRU Cache</t>
  </si>
  <si>
    <t>Hash Table</t>
  </si>
  <si>
    <t>Implement Trie (Prefix Tree)</t>
  </si>
  <si>
    <t>Design Add and Search Words Data Structure</t>
  </si>
  <si>
    <t>String</t>
  </si>
  <si>
    <t>Design Twitter</t>
  </si>
  <si>
    <t>Sliding Window Median</t>
  </si>
  <si>
    <t>Subarray Sum Equals K</t>
  </si>
  <si>
    <t>Accounts Merge</t>
  </si>
  <si>
    <t>Continuous Subarray Sum</t>
  </si>
  <si>
    <t>Moving Average from Data Stream</t>
  </si>
  <si>
    <t>Queues</t>
  </si>
  <si>
    <t>Top K Frequent Elements in Stream</t>
  </si>
  <si>
    <t>Log Aggregator</t>
  </si>
  <si>
    <t>Event Stream Deduplicator</t>
  </si>
  <si>
    <t>Skew-Aware Key Partitioner</t>
  </si>
  <si>
    <t>Hash Join Simulator</t>
  </si>
  <si>
    <t>Solution</t>
  </si>
  <si>
    <t># From console / recovery shell:
sudo systemctl status sshd
sudo journalctl -u sshd -n 100 --no-pager
sudo sshd -t                     # validate config
sudo grep -E 'PermitRoot|PasswordAuth|AllowUsers' /etc/ssh/sshd_config
sudo tail -50 /var/log/auth.log  # or /var/log/secure on RHEL
# Common fixes:
sudo ufw allow 22/tcp            # firewall
sudo chmod 700 ~/.ssh &amp;&amp; chmod 600 ~/.ssh/authorized_keys
sudo systemctl restart sshd</t>
  </si>
  <si>
    <t># grep recursively, ignoring binaries, with line numbers:
grep -rniI --color=auto --include='*.py' 'TODO' .
# faster alternative:
rg -n 'TODO' .                   # ripgrep
# with file list only:
grep -rl 'keyword' /path</t>
  </si>
  <si>
    <t># Build &amp; push for amd64 + arm64 with buildx:
docker buildx create --name mb --use
docker buildx inspect --bootstrap
docker buildx build \
  --platform linux/amd64,linux/arm64 \
  -t myrepo/app:1.0 \
  --push .
docker buildx imagetools inspect myrepo/app:1.0</t>
  </si>
  <si>
    <t>SELECT c.customer_id, c.name FROM customers c
LEFT JOIN orders o ON c.customer_id = o.customer_id
WHERE o.order_id IS NULL;</t>
  </si>
  <si>
    <t>SELECT customer_id, CONCAT_WS(', ', street, city, state, zip) AS full_address FROM customers;</t>
  </si>
  <si>
    <t>SELECT first_name || ' ' || last_name AS full_name FROM employees;</t>
  </si>
  <si>
    <t>-- Nth highest (here N=3):
SELECT DISTINCT revenue FROM orders ORDER BY revenue DESC OFFSET 2 LIMIT 1;</t>
  </si>
  <si>
    <t>SELECT year, revenue,
  100.0*(revenue - LAG(revenue) OVER (ORDER BY year))/NULLIF(LAG(revenue) OVER (ORDER BY year),0) AS yoy_pct
FROM annual_revenue;</t>
  </si>
  <si>
    <t>SELECT sale_date, amount,
  SUM(amount) OVER (ORDER BY sale_date) AS cumulative
FROM sales;</t>
  </si>
  <si>
    <t>SELECT a.id, b.id FROM ranges a JOIN ranges b
ON a.id &lt; b.id AND a.start_dt &lt; b.end_dt AND b.start_dt &lt; a.end_dt;</t>
  </si>
  <si>
    <t>SELECT * FROM orders o
WHERE amount = (SELECT MAX(amount) FROM orders WHERE customer_id = o.customer_id);</t>
  </si>
  <si>
    <t>SELECT job_title, PERCENTILE_CONT(0.5) WITHIN GROUP (ORDER BY salary) AS median
FROM employees GROUP BY job_title;</t>
  </si>
  <si>
    <t>MERGE INTO employees e
USING departments d ON e.dept_id = d.dept_id
WHEN MATCHED THEN UPDATE SET e.dept_name = d.dept_name
WHEN NOT MATCHED THEN INSERT (emp_id, dept_id) VALUES (d.dept_id, ...);</t>
  </si>
  <si>
    <t>SELECT product_id, name, price, ROW_NUMBER() OVER (ORDER BY price ASC) AS seq FROM products;</t>
  </si>
  <si>
    <t>import pandas as pd
df = pd.concat([pd.read_csv(f) for f in ['a.csv','b.csv','c.csv']], ignore_index=True)
report = df.groupby(['region','month'], as_index=False).agg(revenue=('amount','sum'))
report.to_excel('unified_report.xlsx', index=False)</t>
  </si>
  <si>
    <t>import sqlite3, pandas as pd, pyarrow as pa, pyarrow.parquet as pq
con = sqlite3.connect('db.sqlite')
df = pd.read_sql('SELECT * FROM orders', con)
table = pa.Table.from_pandas(df).replace_schema_metadata({
    'source': b'orders.sqlite', 'exported_at': pd.Timestamp.utcnow().isoformat().encode()
})
pq.write_table(table, 'orders.parquet', compression='snappy')</t>
  </si>
  <si>
    <t>SELECT c.customer_id, c.name, COUNT(o.order_id) AS orders, SUM(o.amount) AS total
FROM customers c LEFT JOIN orders o ON c.customer_id = o.customer_id
GROUP BY c.customer_id, c.name;</t>
  </si>
  <si>
    <t>SELECT video_id, title, views FROM videos
WHERE views &gt; 1000000 AND status = 'published';</t>
  </si>
  <si>
    <t>SELECT post_id,
  REGEXP_REPLACE(content, '\\b(spam|abuse|hate)\\b', '***', 1, 0, 'i') AS cleaned
FROM posts;</t>
  </si>
  <si>
    <t>SELECT movie_id, title FROM movies WHERE box_office IS NULL OR box_office = 0;</t>
  </si>
  <si>
    <t>SELECT DATE(o.order_ts) AS day, p.category, SUM(oi.qty * oi.price) AS revenue
FROM orders o
JOIN order_items oi ON o.order_id = oi.order_id
JOIN products p     ON oi.product_id = p.product_id
GROUP BY DATE(o.order_ts), p.category
ORDER BY day, revenue DESC;</t>
  </si>
  <si>
    <t>SELECT UPPER(name) AS name_upper FROM artifacts
WHERE status = 'active' AND name IS NOT NULL;</t>
  </si>
  <si>
    <t>SELECT c.name, o.order_id, p.product_name, oi.qty
FROM customers c
JOIN orders o       ON c.customer_id = o.customer_id
JOIN order_items oi ON o.order_id = oi.order_id
JOIN products p     ON oi.product_id = p.product_id;</t>
  </si>
  <si>
    <t>SELECT
  user_id,
  SHA2(email, 256) AS email_hash,
  REGEXP_REPLACE(phone, '\\d(?=\\d{4})', '*') AS phone_masked,
  LEFT(first_name,1) || REPEAT('*', LENGTH(first_name)-1) AS first_masked
FROM users;</t>
  </si>
  <si>
    <t>SELECT p.product_id, p.name,
  SUM(s.qty) AS units_sold,
  MAX(i.on_hand) AS current_stock
FROM products p
LEFT JOIN sales s     ON p.product_id = s.product_id
LEFT JOIN inventory i ON p.product_id = i.product_id
GROUP BY p.product_id, p.name;</t>
  </si>
  <si>
    <t>SELECT * FROM (
  SELECT *, ROW_NUMBER() OVER (PARTITION BY product_name, sku ORDER BY updated_at DESC) AS rn
  FROM products
) WHERE rn = 1;</t>
  </si>
  <si>
    <t>SELECT a.application_id, a.principal, r.rate_pct,
  a.principal * (r.rate_pct/100/12) /
   (1 - POWER(1 + r.rate_pct/100/12, -a.term_months)) AS monthly_payment
FROM applications a
JOIN rates r ON a.product_code = r.product_code AND a.applied_on BETWEEN r.valid_from AND r.valid_to;</t>
  </si>
  <si>
    <t>SELECT order_id, order_ts FROM orders
WHERE DAYOFWEEK(order_ts) IN (0, 6);  -- Snowflake: 0=Sun, 6=Sat</t>
  </si>
  <si>
    <t>SELECT j.job_id, c.customer_name, m.material_name, j.sqft, j.sqft * m.cost_per_sqft AS total_cost
FROM jobs j
JOIN customers c ON j.customer_id = c.customer_id
JOIN materials m ON j.material_id = m.material_id;</t>
  </si>
  <si>
    <t>SELECT category, product_id, revenue FROM (
  SELECT category, product_id, SUM(amount) AS revenue,
    RANK() OVER (PARTITION BY category ORDER BY SUM(amount) DESC) AS rk
  FROM sales s JOIN products p ON s.product_id = p.product_id
  GROUP BY category, product_id
) WHERE rk &lt;= 5;</t>
  </si>
  <si>
    <t>SELECT domain, page_url, seo_score FROM (
  SELECT *, RANK() OVER (PARTITION BY domain ORDER BY seo_score DESC) rk FROM pages
) WHERE rk = 1;</t>
  </si>
  <si>
    <t>SELECT expression,
  REGEXP_SUBSTR_ALL(expression, '\\d+(\\.\\d+)?') AS numbers,
  REGEXP_SUBSTR_ALL(expression, '[+\\-*/]') AS operators
FROM math_inputs;</t>
  </si>
  <si>
    <t>df = spark.read.option("header", True).csv("/data/in.csv")
df.repartition(8, "region").write.partitionBy("region").parquet("/data/out")</t>
  </si>
  <si>
    <t># Increase partitions for parallelism:
df2 = df.repartition(200, "user_id")
# Reduce partitions without shuffle:
df3 = df.coalesce(10)</t>
  </si>
  <si>
    <t>from pyspark.sql.functions import broadcast
joined = large_df.join(broadcast(small_dim_df), "key", "left")</t>
  </si>
  <si>
    <t>from pyspark.sql.functions import regexp_replace, lower, trim
clean = posts.withColumn(
    "body",
    trim(lower(regexp_replace("body", r"http\\S+|@\\w+", "")))
)</t>
  </si>
  <si>
    <t>from pyspark.sql.functions import to_date, sum as _sum
daily = (orders.join(items, "order_id").join(products, "product_id")
    .groupBy(to_date("order_ts").alias("day"), "category")
    .agg(_sum(items.qty * items.price).alias("revenue")))</t>
  </si>
  <si>
    <t>from pyspark import StorageLevel
df.persist(StorageLevel.MEMORY_AND_DISK)
df.count()             # materialize cache
# ... reuse df many times ...
df.unpersist()</t>
  </si>
  <si>
    <t>popular = videos.filter((videos.views &gt; 1_000_000) &amp; (videos.status == "published"))</t>
  </si>
  <si>
    <t>from pyspark.sql.functions import sha2, regexp_replace, expr
anon = users.select(
    "user_id",
    sha2("email", 256).alias("email_hash"),
    regexp_replace("phone", r"\\d(?=\\d{4})", "*").alias("phone_masked"),
    expr("concat(substring(first_name,1,1), repeat('*', length(first_name)-1))").alias("first_masked"),
)</t>
  </si>
  <si>
    <t>from pyspark.sql.functions import to_date, count, avg, when
stats = calls.groupBy(to_date("call_ts").alias("day")).agg(
    count("*").alias("calls"),
    avg("duration_sec").alias("avg_dur"),
    count(when(calls.outcome == "abandoned", 1)).alias("abandoned"),
)</t>
  </si>
  <si>
    <t>summary = (deals.join(companies, "company_id")
    .groupBy("sector")
    .agg({"amount": "sum", "deal_id": "count"})
    .withColumnRenamed("sum(amount)", "total_invested")
    .orderBy("total_invested", ascending=False))</t>
  </si>
  <si>
    <t>from pyspark.sql.window import Window
from pyspark.sql.functions import row_number, sum as _sum
w = Window.orderBy("ts")
df2 = df.withColumn("rn", row_number().over(w)) \
        .withColumn("running_total", _sum("amount").over(w))</t>
  </si>
  <si>
    <t>portfolio = (holdings.join(prices, ["asset_id", "date"])
    .withColumn("value", holdings.shares * prices.price)
    .groupBy("portfolio_id", "date")
    .agg({"value": "sum"}))</t>
  </si>
  <si>
    <t>from pyspark.sql.window import Window
from pyspark.sql.functions import row_number, lag
w = Window.partitionBy("mountain_id").orderBy("summit_ts")
ranked = climbs.withColumn("rn", row_number().over(w)) \
               .withColumn("prev_climber", lag("climber_id").over(w))</t>
  </si>
  <si>
    <t>from pyspark.sql.window import Window
from pyspark.sql.functions import rank
w = Window.partitionBy("domain").orderBy(pages.seo_score.desc())
leaders = pages.withColumn("rk", rank().over(w)).filter("rk = 1")
global_top = pages.orderBy(pages.seo_score.desc()).limit(10)</t>
  </si>
  <si>
    <t>from pyspark.sql.window import Window
from pyspark.sql.functions import lag, datediff
w = Window.partitionBy("customer_id").orderBy("purchase_date")
hist = purchases.withColumn("prev_date", lag("purchase_date").over(w)) \
                .withColumn("days_since_prev", datediff("purchase_date", "prev_date"))</t>
  </si>
  <si>
    <t>def containsDuplicate(nums):
    return len(nums) != len(set(nums))</t>
  </si>
  <si>
    <t>from collections import Counter
def isAnagram(s, t): return Counter(s) == Counter(t)</t>
  </si>
  <si>
    <t>def twoSum(nums, target):
    seen = {}
    for i, n in enumerate(nums):
        if target - n in seen: return [seen[target-n], i]
        seen[n] = i</t>
  </si>
  <si>
    <t>def isPalindrome(s):
    s = [c.lower() for c in s if c.isalnum()]
    return s == s[::-1]</t>
  </si>
  <si>
    <t>def isValid(s):
    pairs = {')':'(', ']':'[', '}':'{'}
    st = []
    for c in s:
        if c in '([{': st.append(c)
        elif not st or st.pop() != pairs[c]: return False
    return not st</t>
  </si>
  <si>
    <t>def search(nums, target):
    lo, hi = 0, len(nums)-1
    while lo &lt;= hi:
        mid = (lo+hi)//2
        if nums[mid] == target: return mid
        if nums[mid] &lt; target: lo = mid+1
        else: hi = mid-1
    return -1</t>
  </si>
  <si>
    <t>def mergeTwoLists(a, b):
    dummy = tail = ListNode()
    while a and b:
        if a.val &lt;= b.val: tail.next, a = a, a.next
        else:              tail.next, b = b, b.next
        tail = tail.next
    tail.next = a or b
    return dummy.next</t>
  </si>
  <si>
    <t>def invertTree(root):
    if not root: return None
    root.left, root.right = invertTree(root.right), invertTree(root.left)
    return root</t>
  </si>
  <si>
    <t>def maxDepth(root):
    return 0 if not root else 1 + max(maxDepth(root.left), maxDepth(root.right))</t>
  </si>
  <si>
    <t>def diameterOfBinaryTree(root):
    best = 0
    def depth(n):
        nonlocal best
        if not n: return 0
        l, r = depth(n.left), depth(n.right)
        best = max(best, l+r)
        return 1 + max(l, r)
    depth(root)
    return best</t>
  </si>
  <si>
    <t>def isBalanced(root):
    def h(n):
        if not n: return 0
        l, r = h(n.left), h(n.right)
        if l &lt; 0 or r &lt; 0 or abs(l-r) &gt; 1: return -1
        return 1 + max(l, r)
    return h(root) &gt;= 0</t>
  </si>
  <si>
    <t>def isSameTree(p, q):
    if not p and not q: return True
    if not p or not q or p.val != q.val: return False
    return isSameTree(p.left, q.left) and isSameTree(p.right, q.right)</t>
  </si>
  <si>
    <t>def isSubtree(root, sub):
    if not root: return False
    return isSameTree(root, sub) or isSubtree(root.left, sub) or isSubtree(root.right, sub)</t>
  </si>
  <si>
    <t>from collections import defaultdict
def groupAnagrams(strs):
    g = defaultdict(list)
    for s in strs: g[''.join(sorted(s))].append(s)
    return list(g.values())</t>
  </si>
  <si>
    <t>from collections import Counter
def topKFrequent(nums, k):
    return [n for n,_ in Counter(nums).most_common(k)]</t>
  </si>
  <si>
    <t>def productExceptSelf(nums):
    n = len(nums); out = [1]*n
    left = 1
    for i in range(n):
        out[i] = left; left *= nums[i]
    right = 1
    for i in range(n-1, -1, -1):
        out[i] *= right; right *= nums[i]
    return out</t>
  </si>
  <si>
    <t>def longestConsecutive(nums):
    s, best = set(nums), 0
    for n in s:
        if n-1 not in s:
            cur = n; length = 1
            while cur+1 in s: cur += 1; length += 1
            best = max(best, length)
    return best</t>
  </si>
  <si>
    <t>def twoSum(numbers, target):
    l, r = 0, len(numbers)-1
    while l &lt; r:
        s = numbers[l] + numbers[r]
        if s == target: return [l+1, r+1]
        if s &lt; target:  l += 1
        else:           r -= 1</t>
  </si>
  <si>
    <t>def threeSum(nums):
    nums.sort(); res = []
    for i, a in enumerate(nums):
        if i and nums[i] == nums[i-1]: continue
        l, r = i+1, len(nums)-1
        while l &lt; r:
            s = a + nums[l] + nums[r]
            if s == 0:
                res.append([a, nums[l], nums[r]])
                l += 1
                while l &lt; r and nums[l] == nums[l-1]: l += 1
            elif s &lt; 0: l += 1
            else:       r -= 1
    return res</t>
  </si>
  <si>
    <t>def maxArea(h):
    l, r, best = 0, len(h)-1, 0
    while l &lt; r:
        best = max(best, (r-l) * min(h[l], h[r]))
        if h[l] &lt; h[r]: l += 1
        else:           r -= 1
    return best</t>
  </si>
  <si>
    <t>def lengthOfLongestSubstring(s):
    last, l, best = {}, 0, 0
    for r, c in enumerate(s):
        if c in last and last[c] &gt;= l: l = last[c] + 1
        last[c] = r
        best = max(best, r-l+1)
    return best</t>
  </si>
  <si>
    <t>from collections import Counter
def characterReplacement(s, k):
    cnt = Counter(); l = best = mx = 0
    for r, c in enumerate(s):
        cnt[c] += 1; mx = max(mx, cnt[c])
        if r-l+1 - mx &gt; k:
            cnt[s[l]] -= 1; l += 1
        best = max(best, r-l+1)
    return best</t>
  </si>
  <si>
    <t>from collections import Counter
def checkInclusion(s1, s2):
    need, win = Counter(s1), Counter()
    k = len(s1)
    for i, c in enumerate(s2):
        win[c] += 1
        if i &gt;= k: 
            win[s2[i-k]] -= 1
            if win[s2[i-k]] == 0: del win[s2[i-k]]
        if win == need: return True
    return False</t>
  </si>
  <si>
    <t>def dailyTemperatures(t):
    res = [0]*len(t); st = []
    for i, x in enumerate(t):
        while st and t[st[-1]] &lt; x:
            j = st.pop(); res[j] = i - j
        st.append(i)
    return res</t>
  </si>
  <si>
    <t>def carFleet(target, position, speed):
    cars = sorted(zip(position, speed), reverse=True)
    fleets, last = 0, 0
    for p, s in cars:
        t = (target - p) / s
        if t &gt; last:
            fleets += 1; last = t
    return fleets</t>
  </si>
  <si>
    <t>def searchMatrix(M, target):
    if not M: return False
    m, n = len(M), len(M[0])
    lo, hi = 0, m*n-1
    while lo &lt;= hi:
        mid = (lo+hi)//2
        v = M[mid//n][mid%n]
        if v == target: return True
        if v &lt; target: lo = mid+1
        else: hi = mid-1
    return False</t>
  </si>
  <si>
    <t>def minEatingSpeed(piles, h):
    lo, hi = 1, max(piles)
    while lo &lt; hi:
        m = (lo+hi)//2
        if sum((p+m-1)//m for p in piles) &lt;= h: hi = m
        else: lo = m+1
    return lo</t>
  </si>
  <si>
    <t>def findMin(nums):
    lo, hi = 0, len(nums)-1
    while lo &lt; hi:
        m = (lo+hi)//2
        if nums[m] &gt; nums[hi]: lo = m+1
        else: hi = m
    return nums[lo]</t>
  </si>
  <si>
    <t>def search(nums, target):
    lo, hi = 0, len(nums)-1
    while lo &lt;= hi:
        m = (lo+hi)//2
        if nums[m] == target: return m
        if nums[lo] &lt;= nums[m]:
            if nums[lo] &lt;= target &lt; nums[m]: hi = m-1
            else: lo = m+1
        else:
            if nums[m] &lt; target &lt;= nums[hi]: lo = m+1
            else: hi = m-1
    return -1</t>
  </si>
  <si>
    <t>def removeNthFromEnd(head, n):
    dummy = ListNode(0, head); fast = slow = dummy
    for _ in range(n): fast = fast.next
    while fast.next: fast, slow = fast.next, slow.next
    slow.next = slow.next.next
    return dummy.next</t>
  </si>
  <si>
    <t>def addTwoNumbers(l1, l2):
    dummy = cur = ListNode(); carry = 0
    while l1 or l2 or carry:
        s = (l1.val if l1 else 0) + (l2.val if l2 else 0) + carry
        carry, v = divmod(s, 10)
        cur.next = ListNode(v); cur = cur.next
        l1 = l1.next if l1 else None
        l2 = l2.next if l2 else None
    return dummy.next</t>
  </si>
  <si>
    <t>def lowestCommonAncestor(root, p, q):
    while root:
        if p.val &lt; root.val and q.val &lt; root.val: root = root.left
        elif p.val &gt; root.val and q.val &gt; root.val: root = root.right
        else: return root</t>
  </si>
  <si>
    <t>from collections import deque
def levelOrder(root):
    if not root: return []
    q, res = deque([root]), []
    while q:
        level = []
        for _ in range(len(q)):
            n = q.popleft(); level.append(n.val)
            if n.left:  q.append(n.left)
            if n.right: q.append(n.right)
        res.append(level)
    return res</t>
  </si>
  <si>
    <t>def isValidBST(root, lo=float('-inf'), hi=float('inf')):
    if not root: return True
    if not (lo &lt; root.val &lt; hi): return False
    return isValidBST(root.left, lo, root.val) and isValidBST(root.right, root.val, hi)</t>
  </si>
  <si>
    <t>def kthSmallest(root, k):
    st = []
    while True:
        while root: st.append(root); root = root.left
        root = st.pop(); k -= 1
        if k == 0: return root.val
        root = root.right</t>
  </si>
  <si>
    <t>import heapq
def kClosest(points, k):
    return heapq.nsmallest(k, points, key=lambda p: p[0]*p[0] + p[1]*p[1])</t>
  </si>
  <si>
    <t>import heapq
def findKthLargest(nums, k):
    return heapq.nlargest(k, nums)[-1]</t>
  </si>
  <si>
    <t>from collections import Counter
def leastInterval(tasks, n):
    cnt = Counter(tasks); mx = max(cnt.values())
    ties = sum(1 for v in cnt.values() if v == mx)
    return max(len(tasks), (mx-1)*(n+1) + ties)</t>
  </si>
  <si>
    <t>def combinationSum(candidates, target):
    res = []
    def back(i, path, total):
        if total == target: res.append(path[:]); return
        if total &gt; target or i == len(candidates): return
        path.append(candidates[i]); back(i, path, total+candidates[i]); path.pop()
        back(i+1, path, total)
    back(0, [], 0); return res</t>
  </si>
  <si>
    <t>from itertools import permutations
def permute(nums): return [list(p) for p in permutations(nums)]</t>
  </si>
  <si>
    <t>def numIslands(grid):
    if not grid: return 0
    R, C = len(grid), len(grid[0]); count = 0
    def dfs(r, c):
        if r&lt;0 or c&lt;0 or r&gt;=R or c&gt;=C or grid[r][c] != '1': return
        grid[r][c] = '0'
        for dr, dc in [(1,0),(-1,0),(0,1),(0,-1)]: dfs(r+dr, c+dc)
    for r in range(R):
        for c in range(C):
            if grid[r][c] == '1': count += 1; dfs(r, c)
    return count</t>
  </si>
  <si>
    <t>from collections import defaultdict, deque
def findOrder(n, prereq):
    g = defaultdict(list); deg = [0]*n
    for a, b in prereq: g[b].append(a); deg[a] += 1
    q = deque([i for i in range(n) if deg[i]==0]); order = []
    while q:
        x = q.popleft(); order.append(x)
        for y in g[x]:
            deg[y] -= 1
            if deg[y]==0: q.append(y)
    return order if len(order)==n else []</t>
  </si>
  <si>
    <t>def validTree(n, edges):
    if len(edges) != n-1: return False
    parent = list(range(n))
    def find(x):
        while parent[x] != x: parent[x] = parent[parent[x]]; x = parent[x]
        return x
    for a, b in edges:
        ra, rb = find(a), find(b)
        if ra == rb: return False
        parent[ra] = rb
    return True</t>
  </si>
  <si>
    <t>import heapq
from collections import defaultdict
def networkDelayTime(times, n, k):
    g = defaultdict(list)
    for u, v, w in times: g[u].append((v, w))
    dist = {}; pq = [(0, k)]
    while pq:
        d, u = heapq.heappop(pq)
        if u in dist: continue
        dist[u] = d
        for v, w in g[u]:
            if v not in dist: heapq.heappush(pq, (d+w, v))
    return max(dist.values()) if len(dist) == n else -1</t>
  </si>
  <si>
    <t>def canJump(nums):
    reach = 0
    for i, n in enumerate(nums):
        if i &gt; reach: return False
        reach = max(reach, i+n)
    return True</t>
  </si>
  <si>
    <t>def jump(nums):
    jumps = end = far = 0
    for i in range(len(nums)-1):
        far = max(far, i + nums[i])
        if i == end: jumps += 1; end = far
    return jumps</t>
  </si>
  <si>
    <t>def canCompleteCircuit(gas, cost):
    if sum(gas) &lt; sum(cost): return -1
    tank = start = 0
    for i in range(len(gas)):
        tank += gas[i] - cost[i]
        if tank &lt; 0: start = i+1; tank = 0
    return start</t>
  </si>
  <si>
    <t>def partitionLabels(s):
    last = {c: i for i, c in enumerate(s)}
    res, start, end = [], 0, 0
    for i, c in enumerate(s):
        end = max(end, last[c])
        if i == end: res.append(end - start + 1); start = i+1
    return res</t>
  </si>
  <si>
    <t>git checkout -b new-branch-name      # or: git switch -c new-branch-name</t>
  </si>
  <si>
    <t>git checkout feature
git fetch origin
git rebase origin/main
# resolve conflicts, then:
git add . &amp;&amp; git rebase --continue
git push --force-with-lease</t>
  </si>
  <si>
    <t>git stash list                      # find the index, e.g. stash@{2}
git stash apply stash@{2}           # keep it in stash list
# git stash pop stash@{2}           # apply and drop</t>
  </si>
  <si>
    <t>git reset --hard HEAD~1</t>
  </si>
  <si>
    <t>git checkout other-branch -- path/to/file.py    # or: git restore --source=other-branch path/to/file.py</t>
  </si>
  <si>
    <t>git cherry-pick &lt;commit-sha&gt;      # add -x to record source commit</t>
  </si>
  <si>
    <t>git log -- path/to/file.py        # find the commit
git checkout &lt;commit-sha&gt; -- path/to/file.py
# or: git restore --source=&lt;sha&gt; path/to/file.py</t>
  </si>
  <si>
    <t>git tag -a v1.0.0 -m "Release 1.0.0"
git push origin v1.0.0</t>
  </si>
  <si>
    <t>git submodule add https://github.com/org/lib.git external/lib
git commit -m "Add lib submodule"
# Cloning later: git clone --recurse-submodules &lt;repo&gt;</t>
  </si>
  <si>
    <t xml:space="preserve">git submodule update --remote --merge external/lib
git add external/lib &amp;&amp; git commit -m "Bump lib submodule" </t>
  </si>
  <si>
    <t>git stash push -m "WIP feature"
git checkout main &amp;&amp; git pull
# fix bug, commit, push
git checkout feature
git stash pop                       # restore work
git rebase main                     # incorporate the fix</t>
  </si>
  <si>
    <t># Preferred (fast, safe):
git filter-repo --path secrets.env --invert-paths
# Or with the older filter-branch:
git filter-branch --force --index-filter \
  'git rm --cached --ignore-unmatch secrets.env' \
  --prune-empty --tag-name-filter cat -- --all
git push --force --all</t>
  </si>
  <si>
    <t>cd main-repo
git remote add other ../other-repo
git fetch other
git merge --allow-unrelated-histories other/main
# move files into a subdir before merge if you want them isolated</t>
  </si>
  <si>
    <t>git pull origin main --allow-unrelated-histories</t>
  </si>
  <si>
    <t>git reflog                          # find the lost SHA
git checkout -b recovered &lt;sha&gt;     # or: git branch recovered &lt;sha&gt;</t>
  </si>
  <si>
    <t>MERGE INTO customers t
USING staging_customers s
  ON t.customer_id = s.customer_id
WHEN MATCHED THEN UPDATE SET t.name=s.name, t.email=s.email, t.updated_at=CURRENT_TIMESTAMP()
WHEN NOT MATCHED THEN INSERT (customer_id, name, email) VALUES (s.customer_id, s.name, s.email);</t>
  </si>
  <si>
    <t>SELECT company_id, name, SUM(amount) AS total_funding
FROM funding_rounds
GROUP BY company_id, name
HAVING SUM(amount) &gt;= 1000000;</t>
  </si>
  <si>
    <t>SELECT paper_id, author_id,
  ROW_NUMBER() OVER (PARTITION BY paper_id ORDER BY author_order) AS author_seq
FROM paper_authors;</t>
  </si>
  <si>
    <t>WITH stats AS (
  SELECT ride_id, AVG(rating) AS mu, STDDEV(rating) AS sd FROM ratings GROUP BY ride_id)
SELECT r.* FROM ratings r JOIN stats s USING (ride_id)
WHERE ABS(r.rating - s.mu) &gt; 2 * s.sd;</t>
  </si>
  <si>
    <t>SELECT model_type,
  COUNT(*) AS calls,
  AVG(CASE WHEN predicted = actual THEN 1.0 ELSE 0 END) AS accuracy
FROM model_predictions
GROUP BY model_type;</t>
  </si>
  <si>
    <t>SELECT mountain_id, climber_id, summit_ts FROM (
  SELECT *, ROW_NUMBER() OVER (PARTITION BY mountain_id ORDER BY summit_ts DESC) rn
  FROM climbs
) WHERE rn = 1;</t>
  </si>
  <si>
    <t>SELECT customer_id, product_id, purchase_ts,
  ROW_NUMBER() OVER (PARTITION BY customer_id, product_id ORDER BY purchase_ts) AS purchase_no
FROM purchases;</t>
  </si>
  <si>
    <t>from pyspark.sql.functions import count
mode = (orders.groupBy("status").agg(count("*").alias("n"))
        .orderBy("n", ascending=False).limit(1))</t>
  </si>
  <si>
    <t>from pyspark.sql.functions import col, when, greatest, lit
pay = (timecards.join(employees, "emp_id")
    .withColumn("overtime_hours", greatest(col("hours_worked") - lit(40), lit(0)))
    .withColumn("overtime_pay", col("overtime_hours") * col("hourly_rate") * 1.5))</t>
  </si>
  <si>
    <t>from pyspark.sql.functions import sum as _sum
top = (sales.groupBy("product_id").agg(_sum("amount").alias("rev"))
       .orderBy("rev", ascending=False).limit(10))</t>
  </si>
  <si>
    <t>from pyspark.sql.functions import coalesce, lit, sum as _sum
summary = (products
    .withColumn("description", coalesce("description", lit("N/A")))
    .withColumn("price", coalesce("price", lit(0)))
    .groupBy("category")
    .agg(_sum("price").alias("total_price")))</t>
  </si>
  <si>
    <t>from pyspark.sql.functions import split, explode, trim
exploded = df.withColumn("tag", explode(split("tags_csv", ",")))
exploded = exploded.withColumn("tag", trim("tag"))</t>
  </si>
  <si>
    <t>def countComponents(n, edges):
    parent = list(range(n))
    def find(x):
        while parent[x] != x: parent[x] = parent[parent[x]]; x = parent[x]
        return x
    for a, b in edges:
        ra, rb = find(a), find(b)
        if ra != rb: parent[ra] = rb
    return len({find(i) for i in range(n)})</t>
  </si>
  <si>
    <t>from collections import defaultdict, deque
def canFinish(n, prereq):
    g = defaultdict(list); deg = [0]*n
    for a, b in prereq: g[b].append(a); deg[a] += 1
    q = deque([i for i in range(n) if deg[i] == 0]); done = 0
    while q:
        x = q.popleft(); done += 1
        for y in g[x]:
            deg[y] -= 1
            if deg[y] == 0: q.append(y)
    return done == n</t>
  </si>
  <si>
    <t>from collections import deque
def wallsAndGates(rooms):
    if not rooms: return
    R, C = len(rooms), len(rooms[0])
    q = deque([(r, c) for r in range(R) for c in range(C) if rooms[r][c] == 0])
    while q:
        r, c = q.popleft()
        for dr, dc in [(1,0),(-1,0),(0,1),(0,-1)]:
            nr, nc = r+dr, c+dc
            if 0 &lt;= nr &lt; R and 0 &lt;= nc &lt; C and rooms[nr][nc] == 2147483647:
                rooms[nr][nc] = rooms[r][c] + 1
                q.append((nr, nc))</t>
  </si>
  <si>
    <t>def solve(board):
    if not board: return
    R, C = len(board), len(board[0])
    def dfs(r, c):
        if r&lt;0 or c&lt;0 or r&gt;=R or c&gt;=C or board[r][c] != 'O': return
        board[r][c] = '#'
        for dr, dc in [(1,0),(-1,0),(0,1),(0,-1)]: dfs(r+dr, c+dc)
    for r in range(R):
        dfs(r, 0); dfs(r, C-1)
    for c in range(C):
        dfs(0, c); dfs(R-1, c)
    for r in range(R):
        for c in range(C):
            board[r][c] = 'O' if board[r][c] == '#' else 'X'</t>
  </si>
  <si>
    <t>def pacificAtlantic(h):
    if not h: return []
    R, C = len(h), len(h[0])
    pac, atl = set(), set()
    def dfs(r, c, seen, prev):
        if (r, c) in seen or r&lt;0 or c&lt;0 or r&gt;=R or c&gt;=C or h[r][c] &lt; prev: return
        seen.add((r, c))
        for dr, dc in [(1,0),(-1,0),(0,1),(0,-1)]: dfs(r+dr, c+dc, seen, h[r][c])
    for r in range(R): dfs(r, 0, pac, 0); dfs(r, C-1, atl, 0)
    for c in range(C): dfs(0, c, pac, 0); dfs(R-1, c, atl, 0)
    return list(pac &amp; atl)</t>
  </si>
  <si>
    <t>def maxAreaOfIsland(grid):
    if not grid: return 0
    R, C = len(grid), len(grid[0]); best = 0
    def dfs(r, c):
        if r&lt;0 or c&lt;0 or r&gt;=R or c&gt;=C or grid[r][c] != 1: return 0
        grid[r][c] = 0
        return 1 + dfs(r+1,c) + dfs(r-1,c) + dfs(r,c+1) + dfs(r,c-1)
    for r in range(R):
        for c in range(C):
            if grid[r][c] == 1: best = max(best, dfs(r, c))
    return best</t>
  </si>
  <si>
    <t>def cloneGraph(node):
    if not node: return None
    seen = {}
    def dfs(n):
        if n in seen: return seen[n]
        copy = Node(n.val); seen[n] = copy
        for nei in n.neighbors: copy.neighbors.append(dfs(nei))
        return copy
    return dfs(node)</t>
  </si>
  <si>
    <t>def subsets(nums):
    res = [[]]
    for n in nums: res += [s + [n] for s in res]
    return res</t>
  </si>
  <si>
    <t>from collections import deque
def rightSideView(root):
    if not root: return []
    q, res = deque([root]), []
    while q:
        sz = len(q)
        for i in range(sz):
            n = q.popleft()
            if i == sz-1: res.append(n.val)
            if n.left:  q.append(n.left)
            if n.right: q.append(n.right)
    return res</t>
  </si>
  <si>
    <t>def hasCycle(head):
    slow = fast = head
    while fast and fast.next:
        slow, fast = slow.next, fast.next.next
        if slow is fast: return True
    return False</t>
  </si>
  <si>
    <t>def copyRandomList(head):
    if not head: return None
    m = {}
    cur = head
    while cur: m[cur] = Node(cur.val); cur = cur.next
    cur = head
    while cur:
        m[cur].next   = m.get(cur.next)
        m[cur].random = m.get(cur.random)
        cur = cur.next
    return m[head]</t>
  </si>
  <si>
    <t>def reorderList(head):
    # find middle
    slow = fast = head
    while fast and fast.next: slow, fast = slow.next, fast.next.next
    # reverse second half
    prev, cur = None, slow.next; slow.next = None
    while cur: cur.next, prev, cur = prev, cur, cur.next
    # merge
    a, b = head, prev
    while b:
        a.next, b.next, a, b = b, a.next, a.next, b.next</t>
  </si>
  <si>
    <t>def reverseList(head):
    prev = None
    while head:
        head.next, prev, head = prev, head, head.next
    return prev</t>
  </si>
  <si>
    <t>def evalRPN(tokens):
    st = []
    for t in tokens:
        if t in '+-*/':
            b, a = st.pop(), st.pop()
            st.append(int(a/b) if t == '/' else eval(f"{a}{t}{b}"))
        else:
            st.append(int(t))
    return st[0]</t>
  </si>
  <si>
    <t>class MinStack:
    def __init__(self): self.s, self.m = [], []
    def push(self, x):
        self.s.append(x)
        self.m.append(x if not self.m else min(x, self.m[-1]))
    def pop(self): self.s.pop(); self.m.pop()
    def top(self): return self.s[-1]
    def getMin(self): return self.m[-1]</t>
  </si>
  <si>
    <t>from collections import OrderedDict
class LRUCache:
    def __init__(self, capacity): self.cap, self.d = capacity, OrderedDict()
    def get(self, key):
        if key not in self.d: return -1
        self.d.move_to_end(key); return self.d[key]
    def put(self, key, value):
        if key in self.d: self.d.move_to_end(key)
        self.d[key] = value
        if len(self.d) &gt; self.cap: self.d.popitem(last=False)</t>
  </si>
  <si>
    <t>class Trie:
    def __init__(self): self.r = {}
    def insert(self, w):
        n = self.r
        for c in w: n = n.setdefault(c, {})
        n['#'] = True
    def _walk(self, w):
        n = self.r
        for c in w:
            if c not in n: return None
            n = n[c]
        return n
    def search(self, w):
        n = self._walk(w); return bool(n) and '#' in n
    def startsWith(self, p):
        return self._walk(p) is not None</t>
  </si>
  <si>
    <t>class WordDictionary:
    def __init__(self): self.r = {}
    def addWord(self, w):
        n = self.r
        for c in w: n = n.setdefault(c, {})
        n['#'] = True
    def search(self, w):
        def dfs(i, n):
            if i == len(w): return '#' in n
            c = w[i]
            if c == '.':
                return any(k != '#' and dfs(i+1, n[k]) for k in n)
            return c in n and dfs(i+1, n[c])
        return dfs(0, self.r)</t>
  </si>
  <si>
    <t>import heapq
from collections import defaultdict
class Twitter:
    def __init__(self):
        self.t = 0
        self.tweets = defaultdict(list)   # user -&gt; [(time, tweetId)]
        self.follows = defaultdict(set)
    def postTweet(self, u, tid):
        self.t += 1
        self.tweets[u].append((self.t, tid))
    def getNewsFeed(self, u):
        h = []
        for v in self.follows[u] | {u}:
            for ts, tid in self.tweets[v][-10:]:
                heapq.heappush(h, (-ts, tid))
        return [heapq.heappop(h)[1] for _ in range(min(10, len(h)))]
    def follow(self, a, b):
        if a != b: self.follows[a].add(b)
    def unfollow(self, a, b):
        self.follows[a].discard(b)</t>
  </si>
  <si>
    <t>from sortedcontainers import SortedList
def medianSlidingWindow(nums, k):
    sl = SortedList(nums[:k]); res = []
    def med(): return (sl[k//2] + sl[(k-1)//2]) / 2
    res.append(med())
    for i in range(k, len(nums)):
        sl.add(nums[i]); sl.remove(nums[i-k])
        res.append(med())
    return res</t>
  </si>
  <si>
    <t>from collections import defaultdict
def subarraySum(nums, k):
    cnt = defaultdict(int); cnt[0] = 1
    s = res = 0
    for n in nums:
        s += n
        res += cnt[s - k]
        cnt[s] += 1
    return res</t>
  </si>
  <si>
    <t>from collections import defaultdict
def accountsMerge(accounts):
    parent = {}
    def find(x):
        while parent[x] != x: parent[x] = parent[parent[x]]; x = parent[x]
        return x
    email_name = {}
    for acc in accounts:
        name = acc[0]
        for e in acc[1:]:
            parent.setdefault(e, e); email_name[e] = name
            parent[find(e)] = find(acc[1])
    groups = defaultdict(list)
    for e in parent: groups[find(e)].append(e)
    return [[email_name[g[0]]] + sorted(g) for g in groups.values()]</t>
  </si>
  <si>
    <t>def checkSubarraySum(nums, k):
    seen = {0: -1}; s = 0
    for i, n in enumerate(nums):
        s += n
        m = s % k if k else s
        if m in seen:
            if i - seen[m] &gt;= 2: return True
        else:
            seen[m] = i
    return False</t>
  </si>
  <si>
    <t>from collections import deque
class MovingAverage:
    def __init__(self, size): self.q = deque(maxlen=size); self.s = 0
    def next(self, val):
        if len(self.q) == self.q.maxlen: self.s -= self.q[0]
        self.q.append(val); self.s += val
        return self.s / len(self.q)</t>
  </si>
  <si>
    <t>from collections import Counter
import heapq
class TopKStream:
    def __init__(self, k): self.k = k; self.cnt = Counter()
    def add(self, x): self.cnt[x] += 1
    def top(self): return [v for v,_ in self.cnt.most_common(self.k)]</t>
  </si>
  <si>
    <t>from collections import defaultdict
class LogAggregator:
    def __init__(self): self.buckets = defaultdict(int)
    def add(self, ts, key, val=1):
        self.buckets[(ts // 60, key)] += val   # 1-minute buckets
    def query(self, minute, key):
        return self.buckets.get((minute, key), 0)</t>
  </si>
  <si>
    <t>from collections import deque
class Deduplicator:
    def __init__(self, ttl_seconds):
        self.ttl = ttl_seconds; self.seen = {}; self.q = deque()
    def is_new(self, event_id, ts):
        # evict expired
        while self.q and self.q[0][1] + self.ttl &lt; ts:
            eid, _ = self.q.popleft(); self.seen.pop(eid, None)
        if event_id in self.seen: return False
        self.seen[event_id] = ts; self.q.append((event_id, ts)); return True</t>
  </si>
  <si>
    <t>import hashlib
class SkewAwarePartitioner:
    def __init__(self, n_partitions, hot_keys, salt_factor=8):
        self.n = n_partitions; self.hot = set(hot_keys); self.salt = salt_factor
    def partition(self, key, row_index=0):
        if key in self.hot:
            k = f"{key}#{row_index % self.salt}"
        else:
            k = key
        return int(hashlib.md5(k.encode()).hexdigest(), 16) % self.n</t>
  </si>
  <si>
    <t>from collections import defaultdict
def hash_join(left, right, lkey, rkey):
    idx = defaultdict(list)
    for r in right: idx[r[rkey]].append(r)
    out = []
    for l in left:
        for r in idx.get(l[lkey], []):
            out.append({**l, **r})
    return out</t>
  </si>
  <si>
    <t>CGI</t>
  </si>
  <si>
    <t>View Unique Commits Branch vs Origin</t>
  </si>
  <si>
    <t>Remove All Untracked Files and Folders</t>
  </si>
  <si>
    <t>Convert Remote from HTTPS to SSH</t>
  </si>
  <si>
    <t>Rename Branch and Update All References</t>
  </si>
  <si>
    <t xml:space="preserve"># Find the commit you want to restore from:
git log -- path/to/file.py
# Restore that file to the chosen commit's version (modern syntax):
git restore --source=&lt;commit-sha&gt; -- path/to/file.py
# Equivalent older syntax:
git checkout &lt;commit-sha&gt; -- path/to/file.py
# Verify, then commit the restore:
git status
git add path/to/file.py
git commit -m "Restore file.py to version from &lt;sha&gt;" </t>
  </si>
  <si>
    <t># After checking out a tag/SHA you'll be in detached HEAD.
# Verify state:
git status                          # → "HEAD detached at &lt;sha&gt;"
# Create a branch here so commits aren't lost:
git switch -c new-branch-name       # modern
# or:
git checkout -b new-branch-name     # classic
# Push it upstream:
git push -u origin new-branch-name</t>
  </si>
  <si>
    <t># Always fetch first so origin refs are current:
git fetch origin
# Commits on local feature that origin/feature doesn't have:
git log origin/feature..feature --oneline
# Commits on origin/feature that local doesn't have:
git log feature..origin/feature --oneline
# Both directions side by side (left = local, right = remote):
git log --left-right --graph --oneline feature...origin/feature
# Just the count:
git rev-list --left-right --count feature...origin/feature</t>
  </si>
  <si>
    <t># Annotated tag (recommended for releases — has author, date, message):
git tag -a v1.0.0 -m "Release 1.0.0"
# Tag a specific commit instead of HEAD:
git tag -a v1.0.0 &lt;commit-sha&gt; -m "Release 1.0.0"
# Verify:
git tag -n
git show v1.0.0
# Push the single tag:
git push origin v1.0.0
# or push all tags:
git push origin --tags</t>
  </si>
  <si>
    <t># DRY RUN first — see what would be removed:
git clean -nd
# Include files ignored by .gitignore in the preview:
git clean -ndx
# Remove untracked files AND directories:
git clean -fd
# Remove everything untracked, including ignored files (DESTRUCTIVE):
git clean -fdx
# Interactive mode if you want to pick:
git clean -i</t>
  </si>
  <si>
    <t># Add a submodule into ./external/lib:
git submodule add https://github.com/org/lib.git external/lib
# This creates .gitmodules and stages both it and the submodule pointer.
git status
git commit -m "Add lib as submodule"
git push
# Anyone cloning later needs:
git clone --recurse-submodules &lt;repo-url&gt;
# Or, if already cloned:
git submodule update --init --recursive</t>
  </si>
  <si>
    <t># Update one submodule to the latest commit on its tracked branch:
git submodule update --remote --merge external/lib
# Update all submodules:
git submodule update --remote --merge
# The parent repo now has a new submodule pointer — commit it:
git add external/lib
git commit -m "Bump lib submodule to latest"
git push
# Inspect what changed inside the submodule:
git diff --submodule=log</t>
  </si>
  <si>
    <t># See current remotes:
git remote -v
# origin  https://github.com/org/repo.git (fetch)
# origin  https://github.com/org/repo.git (push)
# Switch to SSH:
git remote set-url origin git@github.com:org/repo.git
# Verify:
git remote -v
# origin  git@github.com:org/repo.git (fetch)
# origin  git@github.com:org/repo.git (push)
# Test the SSH connection:
ssh -T git@github.com
git fetch</t>
  </si>
  <si>
    <t># Make sure main is current:
git fetch origin
git checkout feature
# Rebase feature onto the latest main:
git rebase origin/main
# If conflicts:
#   edit files, then:
git add &lt;resolved-files&gt;
git rebase --continue
# (or `git rebase --abort` to back out)
# Push the rewritten history safely:
git push --force-with-lease</t>
  </si>
  <si>
    <t># 1. Save in-progress work (include untracked):
git stash push -u -m "WIP feature-x"
# 2. Switch to main and fix the bug:
git checkout main
git pull
# ... fix bug ...
git add .
git commit -m "Hotfix: critical bug"
git push origin main
# 3. Back to feature, restore stash, rebase onto fixed main:
git checkout feature-x
git stash pop                    # restores work, drops the stash entry
git rebase main                  # incorporate the hotfix
# resolve any conflicts → git add ... &amp;&amp; git rebase --continue</t>
  </si>
  <si>
    <t># List stashes with their indexes:
git stash list
# stash@{0}: WIP on feature: ...
# stash@{1}: WIP on bugfix:  ...
# stash@{2}: WIP on main:    ...
# Preview what's inside a specific stash:
git stash show -p stash@{2}
# Apply it (keeps it in the stash list):
git stash apply stash@{2}
# Or apply AND remove from the list:
git stash pop stash@{2}
# Drop a stash without applying it:
git stash drop stash@{2}</t>
  </si>
  <si>
    <t># Rename the LOCAL branch (run while on it):
git branch -m new-name
# Or rename a different branch by name:
git branch -m old-name new-name
# Push the new branch and set upstream:
git push -u origin new-name
# Delete the old branch from the remote:
git push origin --delete old-name
# Tell collaborators to update their refs:
git fetch origin --prune
git branch -u origin/new-name new-name   # if upstream tracking is missing</t>
  </si>
  <si>
    <t>Summarize Rental Income per Landlord</t>
  </si>
  <si>
    <t>Calculate Average Price and Order Count by Category</t>
  </si>
  <si>
    <t>Count Daily Customers and Total Call Duration</t>
  </si>
  <si>
    <t>Combine Firms, Funds, and Investments Data</t>
  </si>
  <si>
    <t>Multi-Table Joins</t>
  </si>
  <si>
    <t>Employee Pay with Overtime</t>
  </si>
  <si>
    <t>Conditional Logic</t>
  </si>
  <si>
    <t>Numeric Age from Rock Sample</t>
  </si>
  <si>
    <t>Investment by Industry Sector</t>
  </si>
  <si>
    <t>Project Duration, Employees, and Equipment Costs</t>
  </si>
  <si>
    <t>Active Subscriptions for a Video Streaming Platform</t>
  </si>
  <si>
    <t>VMware</t>
  </si>
  <si>
    <t>Customer Churn Across Three Sources</t>
  </si>
  <si>
    <t>Mineral Extraction by Location</t>
  </si>
  <si>
    <t>Extract Product Discounts</t>
  </si>
  <si>
    <t>Number Manufacturing Parts</t>
  </si>
  <si>
    <t>Department Budget Variance</t>
  </si>
  <si>
    <t>Clean Transactional Data</t>
  </si>
  <si>
    <t>Aerospace Equipment Labels</t>
  </si>
  <si>
    <t>Combine User Interactions</t>
  </si>
  <si>
    <t>Data Combination</t>
  </si>
  <si>
    <t>Rank Equipment Maintenance</t>
  </si>
  <si>
    <t>Bank Transaction Records</t>
  </si>
  <si>
    <t>Detect Self Interactions</t>
  </si>
  <si>
    <t>Average Height Per Floor</t>
  </si>
  <si>
    <t>Species Climate Aggregation</t>
  </si>
  <si>
    <t>Top Reptile Observations</t>
  </si>
  <si>
    <t>Daily PE Portfolio Value</t>
  </si>
  <si>
    <t>Annual GDP Growth Rate</t>
  </si>
  <si>
    <t>Thermodynamics Experiment Results</t>
  </si>
  <si>
    <t>Materials Experiment Records</t>
  </si>
  <si>
    <t>Airport Name Lengths</t>
  </si>
  <si>
    <t>Stars and Planets</t>
  </si>
  <si>
    <t>videos(video_id, title, views, status, uploaded_at)</t>
  </si>
  <si>
    <t>SELECT video_id, title, views
FROM videos
WHERE status = 'published'
  AND views &gt; 1000000
ORDER BY views DESC;</t>
  </si>
  <si>
    <t>customers(customer_id, name), orders(order_id, customer_id, order_ts), order_items(order_id, product_id, qty), products(product_id, name, price)</t>
  </si>
  <si>
    <t>SELECT c.name AS customer, o.order_id, p.name AS product, oi.qty, oi.qty * p.price AS line_total
FROM customers   c
JOIN orders      o  ON c.customer_id = o.customer_id
JOIN order_items oi ON o.order_id    = oi.order_id
JOIN products    p  ON oi.product_id = p.product_id
ORDER BY o.order_id;</t>
  </si>
  <si>
    <t>landlords(landlord_id, name), properties(property_id, landlord_id), leases(lease_id, property_id, start_date, end_date), payments(payment_id, lease_id, amount, paid_on)</t>
  </si>
  <si>
    <t>SELECT l.landlord_id, l.name,
       COUNT(DISTINCT p.property_id)         AS properties,
       COUNT(DISTINCT le.lease_id)           AS active_leases,
       COALESCE(SUM(pay.amount), 0)          AS total_income,
       COALESCE(AVG(pay.amount), 0)          AS avg_payment
FROM landlords  l
LEFT JOIN properties p  ON l.landlord_id = p.landlord_id
LEFT JOIN leases    le ON p.property_id  = le.property_id
LEFT JOIN payments  pay ON le.lease_id    = pay.lease_id
GROUP BY l.landlord_id, l.name
ORDER BY total_income DESC;</t>
  </si>
  <si>
    <t>users(user_id, email, phone, first_name, last_name, dob)</t>
  </si>
  <si>
    <t>SELECT
  user_id,
  SHA2(email, 256)                                            AS email_hash,
  REGEXP_REPLACE(phone, '\\d(?=\\d{4})', '*')                 AS phone_masked,
  LEFT(first_name, 1) || REPEAT('*', LENGTH(first_name) - 1)  AS first_masked,
  LEFT(last_name, 1)  || REPEAT('*', LENGTH(last_name)  - 1)  AS last_masked,
  YEAR(dob)                                                   AS birth_year_only
FROM users;</t>
  </si>
  <si>
    <t>products(product_id, category, price), order_items(order_id, product_id, qty)</t>
  </si>
  <si>
    <t>SELECT p.category,
       AVG(p.price)        AS avg_price,
       COUNT(oi.order_id)  AS order_count,
       SUM(oi.qty)         AS units_sold
FROM products    p
LEFT JOIN order_items oi ON p.product_id = oi.product_id
GROUP BY p.category
ORDER BY p.category;</t>
  </si>
  <si>
    <t>posts(post_id, content)</t>
  </si>
  <si>
    <t>SELECT post_id,
       REGEXP_REPLACE(content,
                      '\\b(spam|abuse|hate|profanity)\\b',
                      '***', 1, 0, 'i') AS cleaned_content
FROM posts;</t>
  </si>
  <si>
    <t>sales(sale_id, product_id, amount), products(product_id, name, category)</t>
  </si>
  <si>
    <t>SELECT category, product_id, name, revenue, rk
FROM (
  SELECT p.category, p.product_id, p.name,
         SUM(s.amount) AS revenue,
         RANK() OVER (PARTITION BY p.category ORDER BY SUM(s.amount) DESC) AS rk
  FROM sales s
  JOIN products p ON s.product_id = p.product_id
  GROUP BY p.category, p.product_id, p.name
)
WHERE rk &lt;= 3
ORDER BY category, rk;</t>
  </si>
  <si>
    <t>calls(call_id, customer_id, call_ts, duration_sec)</t>
  </si>
  <si>
    <t>SELECT DATE(call_ts)                  AS day,
       COUNT(DISTINCT customer_id)       AS unique_customers,
       SUM(duration_sec)                 AS total_duration_sec,
       SUM(duration_sec) / 60            AS total_duration_min
FROM calls
GROUP BY DATE(call_ts)
ORDER BY day;</t>
  </si>
  <si>
    <t>paper_authors(paper_id, author_id, contribution_score, author_order)</t>
  </si>
  <si>
    <t>SELECT paper_id, author_id,
       ROW_NUMBER() OVER (PARTITION BY paper_id ORDER BY author_order, author_id) AS author_seq
FROM paper_authors
ORDER BY paper_id, author_seq;</t>
  </si>
  <si>
    <t>products(product_id, name), sales(sale_id, product_id, qty, sold_at), inventory(product_id, on_hand, reorder_point)</t>
  </si>
  <si>
    <t>SELECT p.product_id, p.name,
       COALESCE(SUM(s.qty), 0)        AS units_sold,
       MAX(i.on_hand)                 AS current_stock,
       MAX(i.reorder_point)           AS reorder_point,
       CASE WHEN MAX(i.on_hand) &lt;= MAX(i.reorder_point) THEN 'REORDER'
            ELSE 'OK' END             AS stock_status
FROM products  p
LEFT JOIN sales     s ON p.product_id = s.product_id
LEFT JOIN inventory i ON p.product_id = i.product_id
GROUP BY p.product_id, p.name;</t>
  </si>
  <si>
    <t>movies(movie_id, title, release_year, box_office)</t>
  </si>
  <si>
    <t>SELECT movie_id, title, release_year
FROM movies
WHERE box_office IS NULL
   OR box_office = 0
ORDER BY release_year DESC;</t>
  </si>
  <si>
    <t>customers(customer_id, name, email, updated_at), staging_customers(customer_id, name, email, updated_at)</t>
  </si>
  <si>
    <t>MERGE INTO customers t
USING staging_customers s
   ON t.customer_id = s.customer_id
WHEN MATCHED AND s.updated_at &gt; t.updated_at THEN
  UPDATE SET t.name       = s.name,
             t.email      = s.email,
             t.updated_at = s.updated_at
WHEN NOT MATCHED THEN
  INSERT (customer_id, name, email, updated_at)
  VALUES (s.customer_id, s.name, s.email, s.updated_at);</t>
  </si>
  <si>
    <t>climbs(climb_id, mountain_id, climber_id, summit_ts)</t>
  </si>
  <si>
    <t>SELECT mountain_id, climber_id, summit_ts
FROM climbs
QUALIFY ROW_NUMBER() OVER (PARTITION BY mountain_id ORDER BY summit_ts DESC) = 1
ORDER BY mountain_id;</t>
  </si>
  <si>
    <t>firms(firm_id, name), funds(fund_id, firm_id, fund_name), investments(investment_id, fund_id, company_id, amount, invested_on), companies(company_id, name, sector)</t>
  </si>
  <si>
    <t>SELECT f.name        AS firm,
       fu.fund_name   AS fund,
       c.name         AS portfolio_company,
       c.sector,
       SUM(i.amount)  AS total_invested,
       MIN(i.invested_on) AS first_investment,
       MAX(i.invested_on) AS latest_investment
FROM firms       f
JOIN funds       fu ON f.firm_id     = fu.firm_id
JOIN investments i  ON fu.fund_id    = i.fund_id
JOIN companies   c  ON i.company_id  = c.company_id
GROUP BY f.name, fu.fund_name, c.name, c.sector
ORDER BY f.name, total_invested DESC;</t>
  </si>
  <si>
    <t>pages(page_id, domain, page_url, seo_score, last_crawled)</t>
  </si>
  <si>
    <t>SELECT domain, page_url, seo_score, last_crawled
FROM pages
QUALIFY RANK() OVER (PARTITION BY domain ORDER BY seo_score DESC) = 1
ORDER BY domain;</t>
  </si>
  <si>
    <t>timecards(emp_id, week_start, hours_worked, hourly_rate)</t>
  </si>
  <si>
    <t>SELECT emp_id, week_start, hours_worked, hourly_rate,
       LEAST(hours_worked, 40)                    AS regular_hours,
       GREATEST(hours_worked - 40, 0)             AS overtime_hours,
       LEAST(hours_worked, 40) * hourly_rate
       + GREATEST(hours_worked - 40, 0) * hourly_rate * 1.5  AS gross_pay
FROM timecards;</t>
  </si>
  <si>
    <t>rock_samples(sample_id, description)  -- e.g. 'about 1.2 billion years old'</t>
  </si>
  <si>
    <t>SELECT sample_id, description,
       TRY_TO_NUMBER(REGEXP_SUBSTR(description, '\\d+(\\.\\d+)?')) AS numeric_age,
       CASE
         WHEN description ILIKE '%billion%' THEN 1e9
         WHEN description ILIKE '%million%' THEN 1e6
         WHEN description ILIKE '%thousand%' THEN 1e3
         ELSE 1 END                                         AS unit_multiplier,
       TRY_TO_NUMBER(REGEXP_SUBSTR(description, '\\d+(\\.\\d+)?'))
         * CASE
             WHEN description ILIKE '%billion%' THEN 1e9
             WHEN description ILIKE '%million%' THEN 1e6
             WHEN description ILIKE '%thousand%' THEN 1e3
             ELSE 1 END                                     AS age_in_years
FROM rock_samples;</t>
  </si>
  <si>
    <t>products(product_id, sku, product_name, price, updated_at)</t>
  </si>
  <si>
    <t>-- Keep the most recently updated row per (sku, product_name)
SELECT *
FROM products
QUALIFY ROW_NUMBER() OVER (PARTITION BY sku, product_name ORDER BY updated_at DESC) = 1;</t>
  </si>
  <si>
    <t>investments(investment_id, company_id, amount, invested_on), companies(company_id, sector)</t>
  </si>
  <si>
    <t>SELECT c.sector,
       COUNT(*)         AS deal_count,
       SUM(i.amount)    AS total_invested,
       AVG(i.amount)    AS avg_deal_size,
       MAX(i.amount)    AS largest_deal
FROM investments i
JOIN companies   c ON i.company_id = c.company_id
GROUP BY c.sector
ORDER BY total_invested DESC;</t>
  </si>
  <si>
    <t>projects(project_id, name, start_date, end_date), assignments(project_id, emp_id, hours, hourly_rate), equipment_costs(project_id, equipment_id, cost)</t>
  </si>
  <si>
    <t>SELECT p.project_id, p.name,
       DATEDIFF(day, p.start_date, p.end_date) AS duration_days,
       COUNT(DISTINCT a.emp_id)                AS employees,
       COALESCE(SUM(a.hours * a.hourly_rate), 0) AS labor_cost,
       COALESCE(SUM(DISTINCT e.cost), 0)       AS equipment_cost,
       COALESCE(SUM(a.hours * a.hourly_rate), 0)
         + COALESCE(SUM(DISTINCT e.cost), 0)   AS total_cost
FROM projects p
LEFT JOIN assignments      a ON p.project_id = a.project_id
LEFT JOIN equipment_costs  e ON p.project_id = e.project_id
GROUP BY p.project_id, p.name, p.start_date, p.end_date
ORDER BY total_cost DESC;</t>
  </si>
  <si>
    <t>purchases(purchase_id, customer_id, product_id, purchase_ts, amount)</t>
  </si>
  <si>
    <t>SELECT customer_id, product_id, purchase_ts, amount,
       ROW_NUMBER()   OVER (PARTITION BY customer_id, product_id ORDER BY purchase_ts) AS purchase_no,
       LAG(purchase_ts) OVER (PARTITION BY customer_id, product_id ORDER BY purchase_ts) AS prev_ts,
       DATEDIFF(day,
                LAG(purchase_ts) OVER (PARTITION BY customer_id, product_id ORDER BY purchase_ts),
                purchase_ts) AS days_since_last,
       SUM(amount) OVER (PARTITION BY customer_id, product_id ORDER BY purchase_ts
                         ROWS UNBOUNDED PRECEDING) AS cumulative_spend
FROM purchases;</t>
  </si>
  <si>
    <t>subscriptions(sub_id, user_id, plan_id, started_at, ended_at), plans(plan_id, name, monthly_price), users(user_id, country)</t>
  </si>
  <si>
    <t>SELECT u.country, p.name AS plan,
       COUNT(*)                AS active_subs,
       SUM(p.monthly_price)    AS mrr
FROM subscriptions s
JOIN users u ON s.user_id = u.user_id
JOIN plans p ON s.plan_id = p.plan_id
WHERE s.started_at &lt;= CURRENT_DATE()
  AND (s.ended_at IS NULL OR s.ended_at &gt; CURRENT_DATE())
GROUP BY u.country, p.name
ORDER BY u.country, mrr DESC;</t>
  </si>
  <si>
    <t>model_predictions(prediction_id, model_type, predicted, actual, latency_ms, predicted_at)</t>
  </si>
  <si>
    <t>SELECT model_type,
       COUNT(*)                                                       AS calls,
       AVG(IFF(predicted = actual, 1.0, 0.0))                         AS accuracy,
       AVG(latency_ms)                                                AS avg_latency_ms,
       PERCENTILE_CONT(0.95) WITHIN GROUP (ORDER BY latency_ms)       AS p95_latency_ms
FROM model_predictions
GROUP BY model_type
ORDER BY calls DESC;</t>
  </si>
  <si>
    <t>source_a(customer_id, churned_on), source_b(customer_id, churned_on), source_c(customer_id, churned_on)</t>
  </si>
  <si>
    <t>WITH all_churn AS (
  SELECT customer_id, churned_on, 'A' AS src FROM source_a
  UNION ALL
  SELECT customer_id, churned_on, 'B'         FROM source_b
  UNION ALL
  SELECT customer_id, churned_on, 'C'         FROM source_c
),
deduped AS (
  SELECT customer_id, churned_on, src,
         ROW_NUMBER() OVER (PARTITION BY customer_id ORDER BY churned_on) AS rn
  FROM all_churn
)
SELECT customer_id, churned_on AS first_churn_date, src AS first_seen_in
FROM deduped
WHERE rn = 1
ORDER BY first_churn_date;</t>
  </si>
  <si>
    <t>extractions(extraction_id, mine_id, mineral, tonnage, extracted_on), mines(mine_id, location)</t>
  </si>
  <si>
    <t>SELECT m.location, e.mineral,
       SUM(e.tonnage)        AS total_tonnage,
       COUNT(*)              AS extraction_events
FROM extractions e
JOIN mines       m ON e.mine_id = m.mine_id
GROUP BY m.location, e.mineral
ORDER BY m.location, total_tonnage DESC;</t>
  </si>
  <si>
    <t>products(product_id, description)  -- e.g. '20% off until 2025-06-01, was $99.99 now $79.99'</t>
  </si>
  <si>
    <t>SELECT product_id,
       description,
       TRY_TO_NUMBER(REGEXP_SUBSTR(description, '(\\d+)\\s*%', 1, 1, 'e', 1)) AS discount_pct,
       TRY_TO_NUMBER(REGEXP_SUBSTR(description, 'was\\s*\\$([\\d.]+)', 1, 1, 'ie', 1)) AS original_price,
       TRY_TO_NUMBER(REGEXP_SUBSTR(description, 'now\\s*\\$([\\d.]+)', 1, 1, 'ie', 1)) AS final_price,
       TRY_TO_DATE  (REGEXP_SUBSTR(description, '\\d{4}-\\d{2}-\\d{2}'))            AS discount_until
FROM products;</t>
  </si>
  <si>
    <t>applications(app_id, principal, term_months, product_code, applied_on), rates(product_code, rate_pct, valid_from, valid_to)</t>
  </si>
  <si>
    <t>SELECT a.app_id, a.principal, a.term_months, r.rate_pct,
       a.principal
         * (r.rate_pct / 100 / 12)
         / (1 - POWER(1 + r.rate_pct / 100 / 12, -a.term_months)) AS monthly_payment
FROM applications a
JOIN rates        r
  ON a.product_code = r.product_code
 AND a.applied_on BETWEEN r.valid_from AND r.valid_to;</t>
  </si>
  <si>
    <t>parts(part_id, manufactured_at, line_id)</t>
  </si>
  <si>
    <t>SELECT part_id, manufactured_at, line_id,
       ROW_NUMBER() OVER (PARTITION BY line_id ORDER BY manufactured_at) AS line_seq,
       ROW_NUMBER() OVER (ORDER BY manufactured_at)                      AS global_seq
FROM parts;</t>
  </si>
  <si>
    <t>budgets(dept_id, fiscal_year, budgeted), expenses(expense_id, dept_id, fiscal_year, amount)</t>
  </si>
  <si>
    <t>SELECT b.dept_id, b.fiscal_year,
       b.budgeted,
       COALESCE(SUM(e.amount), 0)              AS actual,
       b.budgeted - COALESCE(SUM(e.amount), 0) AS variance,
       CASE WHEN b.budgeted = 0 THEN NULL
            ELSE 100.0 * (COALESCE(SUM(e.amount), 0) - b.budgeted) / b.budgeted
       END                                     AS variance_pct
FROM budgets  b
LEFT JOIN expenses e
       ON b.dept_id     = e.dept_id
      AND b.fiscal_year = e.fiscal_year
GROUP BY b.dept_id, b.fiscal_year, b.budgeted
ORDER BY ABS(variance) DESC;</t>
  </si>
  <si>
    <t>transactions(txn_id, account_id, amount, txn_ts, status)</t>
  </si>
  <si>
    <t>-- 1) drop exact dupes  2) drop reversals  3) keep last status per txn_id
WITH ranked AS (
  SELECT *,
         ROW_NUMBER() OVER (PARTITION BY txn_id ORDER BY txn_ts DESC) AS rn
  FROM transactions
  WHERE status NOT IN ('reversed', 'failed')
)
SELECT txn_id, account_id, amount, txn_ts, status
FROM ranked
WHERE rn = 1
QUALIFY ROW_NUMBER() OVER (PARTITION BY account_id, amount, txn_ts ORDER BY txn_id) = 1;</t>
  </si>
  <si>
    <t>orders(order_id, order_ts, amount)</t>
  </si>
  <si>
    <t>SELECT order_id, order_ts, amount,
       DAYNAME(order_ts) AS day_name,
       CASE WHEN DAYOFWEEK(order_ts) IN (0, 6) THEN 'weekend' ELSE 'weekday' END AS day_type
FROM orders
WHERE DAYOFWEEK(order_ts) IN (0, 6)   -- Snowflake: 0=Sun, 6=Sat
ORDER BY order_ts;</t>
  </si>
  <si>
    <t>ratings(rating_id, ride_id, user_id, rating, rated_at)</t>
  </si>
  <si>
    <t>WITH stats AS (
  SELECT ride_id,
         AVG(rating)    AS mu,
         STDDEV(rating) AS sd
  FROM ratings
  GROUP BY ride_id
)
SELECT r.rating_id, r.ride_id, r.user_id, r.rating, s.mu, s.sd,
       (r.rating - s.mu) / NULLIF(s.sd, 0) AS z_score
FROM ratings r
JOIN stats   s USING (ride_id)
WHERE ABS(r.rating - s.mu) &gt; 2 * s.sd
ORDER BY ABS(z_score) DESC;</t>
  </si>
  <si>
    <t>equipment(equipment_id, name, category_id), categories(category_id, label), tags(equipment_id, tag)</t>
  </si>
  <si>
    <t>SELECT e.equipment_id, e.name, c.label AS category,
       LISTAGG(t.tag, ', ') WITHIN GROUP (ORDER BY t.tag) AS tags
FROM equipment   e
JOIN categories  c ON e.category_id = c.category_id
LEFT JOIN tags   t ON e.equipment_id = t.equipment_id
GROUP BY e.equipment_id, e.name, c.label;</t>
  </si>
  <si>
    <t>likes(user_id, target_id, ts), comments(user_id, target_id, ts), shares(user_id, target_id, ts)</t>
  </si>
  <si>
    <t>SELECT user_id, target_id, ts, 'like'    AS interaction FROM likes
UNION ALL
SELECT user_id, target_id, ts, 'comment'         FROM comments
UNION ALL
SELECT user_id, target_id, ts, 'share'           FROM shares
ORDER BY ts;</t>
  </si>
  <si>
    <t>orders(order_id, order_ts), order_items(order_id, product_id, qty, price), products(product_id, category)</t>
  </si>
  <si>
    <t>SELECT DATE(o.order_ts) AS day, p.category,
       SUM(oi.qty * oi.price) AS revenue
FROM orders       o
JOIN order_items  oi ON o.order_id    = oi.order_id
JOIN products     p  ON oi.product_id = p.product_id
GROUP BY DATE(o.order_ts), p.category
ORDER BY day, revenue DESC;</t>
  </si>
  <si>
    <t>funding_rounds(round_id, company_id, amount, round_type, raised_on), companies(company_id, name)</t>
  </si>
  <si>
    <t>SELECT c.company_id, c.name,
       SUM(f.amount) AS total_raised,
       COUNT(*)      AS rounds
FROM companies      c
JOIN funding_rounds f ON c.company_id = f.company_id
GROUP BY c.company_id, c.name
HAVING SUM(f.amount) &gt;= 1000000
ORDER BY total_raised DESC;</t>
  </si>
  <si>
    <t>maintenance(maint_id, equipment_id, maint_date, cost), equipment(equipment_id, name, location)</t>
  </si>
  <si>
    <t>SELECT e.equipment_id, e.name, e.location,
       COUNT(m.maint_id)  AS maintenance_events,
       SUM(m.cost)        AS total_cost,
       MAX(m.maint_date)  AS last_maintenance,
       RANK() OVER (PARTITION BY e.location ORDER BY SUM(m.cost) DESC) AS cost_rank_in_location,
       DENSE_RANK() OVER (ORDER BY COUNT(m.maint_id) DESC)             AS frequency_rank_global
FROM equipment    e
LEFT JOIN maintenance m ON e.equipment_id = m.equipment_id
GROUP BY e.equipment_id, e.name, e.location
ORDER BY total_cost DESC;</t>
  </si>
  <si>
    <t>accounts(account_id, holder_name), transactions(txn_id, account_id, txn_type, amount, txn_ts)</t>
  </si>
  <si>
    <t>SELECT a.account_id, a.holder_name, t.txn_id, t.txn_type, t.amount, t.txn_ts
FROM accounts     a
JOIN transactions t ON a.account_id = t.account_id
ORDER BY a.account_id, t.txn_ts DESC;</t>
  </si>
  <si>
    <t>interactions(interaction_id, source_user_id, target_user_id, ts)</t>
  </si>
  <si>
    <t>SELECT *
FROM interactions
WHERE source_user_id = target_user_id;</t>
  </si>
  <si>
    <t>rooms(room_id, building_id, floor, ceiling_height_m)</t>
  </si>
  <si>
    <t>SELECT building_id, floor,
       AVG(ceiling_height_m) AS avg_height_m,
       CASE WHEN AVG(ceiling_height_m) &gt;= 3 THEN 'High'
            WHEN AVG(ceiling_height_m) &gt;= 2.5 THEN 'Standard'
            ELSE 'Low' END AS height_class
FROM rooms
GROUP BY building_id, floor
ORDER BY building_id, floor;</t>
  </si>
  <si>
    <t>species(species_id, name, habitat_id), habitats(habitat_id, climate_zone)</t>
  </si>
  <si>
    <t>SELECT h.climate_zone,
       COUNT(DISTINCT s.species_id) AS species_count,
       LISTAGG(s.name, ', ') WITHIN GROUP (ORDER BY s.name) AS species_list
FROM species   s
JOIN habitats  h ON s.habitat_id = h.habitat_id
GROUP BY h.climate_zone
ORDER BY species_count DESC;</t>
  </si>
  <si>
    <t>observations(obs_id, species_id, observed_at, location_id), species(species_id, common_name, class)</t>
  </si>
  <si>
    <t>SELECT location_id, species_id, common_name, observation_count
FROM (
  SELECT o.location_id, o.species_id, s.common_name,
         COUNT(*) AS observation_count,
         RANK() OVER (PARTITION BY o.location_id ORDER BY COUNT(*) DESC) AS rk
  FROM observations o
  JOIN species      s ON o.species_id = s.species_id
  WHERE s.class = 'Reptilia'
  GROUP BY o.location_id, o.species_id, s.common_name
)
WHERE rk &lt;= 5
ORDER BY location_id, rk;</t>
  </si>
  <si>
    <t>holdings(portfolio_id, asset_id, shares, as_of_date), prices(asset_id, price_date, close_price)</t>
  </si>
  <si>
    <t>SELECT h.portfolio_id, h.as_of_date AS day,
       SUM(h.shares * p.close_price) AS portfolio_value
FROM holdings h
JOIN prices   p
  ON h.asset_id   = p.asset_id
 AND h.as_of_date = p.price_date
GROUP BY h.portfolio_id, h.as_of_date
ORDER BY h.portfolio_id, day;</t>
  </si>
  <si>
    <t>gdp(country, year, gdp_value)</t>
  </si>
  <si>
    <t>SELECT country, year, gdp_value,
       LAG(gdp_value) OVER (PARTITION BY country ORDER BY year) AS prev_gdp,
       100.0 * (gdp_value - LAG(gdp_value) OVER (PARTITION BY country ORDER BY year))
             / NULLIF(LAG(gdp_value) OVER (PARTITION BY country ORDER BY year), 0) AS yoy_growth_pct,
       AVG(gdp_value) OVER (PARTITION BY country ORDER BY year
                            ROWS BETWEEN 4 PRECEDING AND CURRENT ROW)              AS rolling_5yr_avg
FROM gdp
ORDER BY country, year;</t>
  </si>
  <si>
    <t>experiments(exp_id, name, run_at), measurements(meas_id, exp_id, temperature_k, pressure_pa)</t>
  </si>
  <si>
    <t>SELECT e.exp_id, e.name,
       AVG(m.temperature_k) AS avg_temp_k,
       AVG(m.pressure_pa)   AS avg_pressure_pa,
       COUNT(m.meas_id)     AS measurement_count
FROM experiments  e
JOIN measurements m ON e.exp_id = m.exp_id
GROUP BY e.exp_id, e.name;</t>
  </si>
  <si>
    <t>materials(material_id, name, density), experiments(exp_id, material_id, tested_on, result)</t>
  </si>
  <si>
    <t>SELECT m.material_id, m.name, m.density,
       COUNT(e.exp_id)  AS experiments_run,
       MAX(e.tested_on) AS last_tested
FROM materials   m
LEFT JOIN experiments e ON m.material_id = e.material_id
GROUP BY m.material_id, m.name, m.density
ORDER BY experiments_run DESC;</t>
  </si>
  <si>
    <t>jobs(job_id, customer_id, material_id, sqft), customers(customer_id, customer_name), materials(material_id, material_name, cost_per_sqft)</t>
  </si>
  <si>
    <t>SELECT j.job_id, c.customer_name, m.material_name, j.sqft,
       j.sqft * m.cost_per_sqft AS total_cost
FROM jobs       j
JOIN customers  c ON j.customer_id = c.customer_id
JOIN materials  m ON j.material_id = m.material_id
ORDER BY total_cost DESC;</t>
  </si>
  <si>
    <t>airports(airport_id, code, name, country_id), countries(country_id, country_name)</t>
  </si>
  <si>
    <t>SELECT a.code, a.name, c.country_name,
       LENGTH(a.name) AS name_length
FROM airports  a
JOIN countries c ON a.country_id = c.country_id
QUALIFY RANK() OVER (PARTITION BY c.country_name ORDER BY LENGTH(a.name) DESC) = 1
ORDER BY c.country_name;</t>
  </si>
  <si>
    <t>artifacts(artifact_id, name, status)</t>
  </si>
  <si>
    <t>SELECT artifact_id, UPPER(name) AS name_upper, status
FROM artifacts
WHERE status = 'active'
  AND name IS NOT NULL
ORDER BY name_upper;</t>
  </si>
  <si>
    <t>math_inputs(input_id, expression)  -- e.g. '12 + 4 * (3 - 1) / 2.5'</t>
  </si>
  <si>
    <t>-- Snowflake supports REGEXP_SUBSTR_ALL since 2023
SELECT input_id, expression,
       REGEXP_SUBSTR_ALL(expression, '\\d+(\\.\\d+)?') AS numbers,
       REGEXP_SUBSTR_ALL(expression, '[+\\-*/]')          AS operators,
       REGEXP_SUBSTR_ALL(expression, '[()]')              AS parentheses,
       ARRAY_SIZE(REGEXP_SUBSTR_ALL(expression, '\\d+(\\.\\d+)?')) AS number_count,
       ARRAY_SIZE(REGEXP_SUBSTR_ALL(expression, '[+\\-*/]'))           AS operator_count
FROM math_inputs;</t>
  </si>
  <si>
    <t>stars(star_id, name, spectral_type), planets(planet_id, star_id, name, mass_earth, orbital_period_days)</t>
  </si>
  <si>
    <t>SELECT s.name AS star, s.spectral_type,
       COUNT(p.planet_id)               AS planet_count,
       AVG(p.mass_earth)                AS avg_planet_mass,
       MIN(p.orbital_period_days)       AS shortest_orbit_days,
       MAX(p.orbital_period_days)       AS longest_orbit_days
FROM stars   s
LEFT JOIN planets p ON s.star_id = p.star_id
GROUP BY s.name, s.spectral_type
ORDER BY planet_count DESC;</t>
  </si>
  <si>
    <t>LFU Cache</t>
  </si>
  <si>
    <t>Find Median from Data Stream</t>
  </si>
  <si>
    <t>Heaps</t>
  </si>
  <si>
    <t>CSV Row Filter and Count</t>
  </si>
  <si>
    <t>Extract Nested Temperature Data from JSON API Response</t>
  </si>
  <si>
    <t>Analyze Sales Dataset Dimensions and Calculate Total Revenue</t>
  </si>
  <si>
    <t>Fetch and Save Cryptocurrency Price Data from API</t>
  </si>
  <si>
    <t>Count Log Level Occurrences in Application Log File</t>
  </si>
  <si>
    <t>Extract Email Addresses from Text File Using RegEx</t>
  </si>
  <si>
    <t>Sort Avro Employee Records by Salary</t>
  </si>
  <si>
    <t>Validate Phone Numbers Using ReGex</t>
  </si>
  <si>
    <t>Extract Domain Names from URLs Using RegEx</t>
  </si>
  <si>
    <t>Remove Leading and Trailing Special Characters from Text</t>
  </si>
  <si>
    <t>Mastercard</t>
  </si>
  <si>
    <t>Parse INI File to JSON</t>
  </si>
  <si>
    <t>Deep Merge YAML Configuration Files</t>
  </si>
  <si>
    <t>Count User Events from JSON Activity Logs</t>
  </si>
  <si>
    <t>Split Delimited Column into Separate Columns with Pandas</t>
  </si>
  <si>
    <t>Compare SQLite Database and CSV File Records</t>
  </si>
  <si>
    <t>Valid Sudoku</t>
  </si>
  <si>
    <t>Capital One</t>
  </si>
  <si>
    <t>Trapping Rain Water</t>
  </si>
  <si>
    <t>Best Time to Buy and Sell Stock</t>
  </si>
  <si>
    <t>Analyze DataFrame Memory Usage</t>
  </si>
  <si>
    <t>Replace Null Values in Dataset Based on Column Data Type</t>
  </si>
  <si>
    <t>Sort CSV Data by Column in Descending Order Using Pandas</t>
  </si>
  <si>
    <t>Fetch and Combine Data from Paginated API Endpoint</t>
  </si>
  <si>
    <t>Convert Excel Files with Multiple Sheets to Individual CSV Files</t>
  </si>
  <si>
    <t>Flatten Nested JSON to CSV with Dot-Notation Columns</t>
  </si>
  <si>
    <t>Calculate Descriptive Statistics for Numeric Columns in Pandas</t>
  </si>
  <si>
    <t>Minimum Window Substring</t>
  </si>
  <si>
    <t>Sliding Window Maximum</t>
  </si>
  <si>
    <t>Time-Series Rolling Window Analysis for Multi-Stock Price Data</t>
  </si>
  <si>
    <t>Largest Rectangle In Histogram</t>
  </si>
  <si>
    <t>Parse HTML and Extract External Domain Links</t>
  </si>
  <si>
    <t>Scrape Meta Tags from Multiple Web Pages into JSON Dataset</t>
  </si>
  <si>
    <t>Extract and Normalize Timestamps from Multi-Format Log File</t>
  </si>
  <si>
    <t>Extract Embedded Schema from Avro File to JSON</t>
  </si>
  <si>
    <t>Decompose Time-Series Data into Trend, Seasonal, and Residual Components</t>
  </si>
  <si>
    <t>Parse JSON Log Files and Extract Fields to CSV</t>
  </si>
  <si>
    <t>Deep Merge Multiple YAML Config Files</t>
  </si>
  <si>
    <t>Extract Schema Information from Parquet File Using PyArrow</t>
  </si>
  <si>
    <t>Last Stone Weight</t>
  </si>
  <si>
    <t>Single Number</t>
  </si>
  <si>
    <t>Number of 1 Bits</t>
  </si>
  <si>
    <t>Missing Number</t>
  </si>
  <si>
    <t>Happy Number</t>
  </si>
  <si>
    <t>Plus One</t>
  </si>
  <si>
    <t>Rotate Image</t>
  </si>
  <si>
    <t>Maximum Subarray</t>
  </si>
  <si>
    <t>Meeting Rooms</t>
  </si>
  <si>
    <t>Merge Intervals</t>
  </si>
  <si>
    <t>Select Specific Columns from Parquet File</t>
  </si>
  <si>
    <t>Flatten Nested Struct Columns in Parquet and Export to CSV</t>
  </si>
  <si>
    <t>Merge Customer and Purchase Data Using Pandas</t>
  </si>
  <si>
    <t>Build Complete ETL Pipeline with Data Cleaning and Transformations</t>
  </si>
  <si>
    <t>Stratified Sampling from Dataset by Region</t>
  </si>
  <si>
    <t>Aggregate Time-Series Data into Fixed Time Windows</t>
  </si>
  <si>
    <t>Interpolate Missing Values in Irregular Time-Series Sensor Data</t>
  </si>
  <si>
    <t>Remove Seasonal Effects from Time-Series Sales Data</t>
  </si>
  <si>
    <t>Correlate Microservice Logs Across Services Using Request IDs</t>
  </si>
  <si>
    <t>Partition CSV Data into Monthly Parquet Files</t>
  </si>
  <si>
    <t>Scrape Multi-Page E-commerce Data with BeautifulSoup</t>
  </si>
  <si>
    <t>Parse Multi-Format Data File with Different Delimiters per Row Type</t>
  </si>
  <si>
    <t>Median of Two Sorted Arrays</t>
  </si>
  <si>
    <t>Find the Duplicate Number</t>
  </si>
  <si>
    <t>Merge k Sorted Lists</t>
  </si>
  <si>
    <t>Reverse Nodes in k-Group</t>
  </si>
  <si>
    <t>Count Good Nodes in Binary Tree</t>
  </si>
  <si>
    <t>Construct Binary Tree from Preorder and Inorder Traversal</t>
  </si>
  <si>
    <t>Binary Tree Maximum Path Sum</t>
  </si>
  <si>
    <t>Word Search II</t>
  </si>
  <si>
    <t>Subsets II</t>
  </si>
  <si>
    <t>Combination Sum II</t>
  </si>
  <si>
    <t>Word Search</t>
  </si>
  <si>
    <t>Palindrome Partitioning</t>
  </si>
  <si>
    <t>Letter Combinations of a Phone Number</t>
  </si>
  <si>
    <t>N-Queens</t>
  </si>
  <si>
    <t>Rotting Oranges</t>
  </si>
  <si>
    <t>Redundant Connection</t>
  </si>
  <si>
    <t>Word Ladder</t>
  </si>
  <si>
    <t>Reconstruct Itinerary</t>
  </si>
  <si>
    <t>Min Cost to Connect All Points</t>
  </si>
  <si>
    <t>New Relic</t>
  </si>
  <si>
    <t>Swim in Rising Water</t>
  </si>
  <si>
    <t>Alien Dictionary</t>
  </si>
  <si>
    <t>Cheapest Flights Within K Stops</t>
  </si>
  <si>
    <t>Hand of Straights</t>
  </si>
  <si>
    <t>Merge Triplets to Form Target</t>
  </si>
  <si>
    <t>Valid Parenthesis String</t>
  </si>
  <si>
    <t>Insert Interval</t>
  </si>
  <si>
    <t>Non-overlapping Intervals</t>
  </si>
  <si>
    <t>Meeting Rooms II</t>
  </si>
  <si>
    <t>Minimum Interval to Include Each Query</t>
  </si>
  <si>
    <t>from collections import Counter
import heapq
class TopKStream:
    def __init__(self, k):
        self.k, self.cnt = k, Counter()
    def add(self, x):
        self.cnt[x] += 1
    def top(self):
        return [v for v, _ in self.cnt.most_common(self.k)]</t>
  </si>
  <si>
    <t>import hashlib
class SkewAwarePartitioner:
    def __init__(self, n_partitions, hot_keys, salt_factor=8):
        self.n = n_partitions
        self.hot = set(hot_keys)
        self.salt = salt_factor
    def partition(self, key, row_index=0):
        # Salt hot keys to spread load across multiple partitions
        k = f"{key}#{row_index % self.salt}" if key in self.hot else key
        return int(hashlib.md5(k.encode()).hexdigest(), 16) % self.n</t>
  </si>
  <si>
    <t>from collections import deque
class MovingAverage:
    def __init__(self, size):
        self.q = deque(maxlen=size)
        self.s = 0
    def next(self, val):
        if len(self.q) == self.q.maxlen:
            self.s -= self.q[0]
        self.q.append(val)
        self.s += val
        return self.s / len(self.q)</t>
  </si>
  <si>
    <t>from collections import defaultdict, OrderedDict
class LFUCache:
    def __init__(self, capacity):
        self.cap = capacity
        self.min_freq = 0
        self.key_to_val = {}                  # key -&gt; value
        self.key_to_freq = {}                 # key -&gt; freq
        self.freq_to_keys = defaultdict(OrderedDict)  # freq -&gt; ordered keys
    def _bump(self, key):
        f = self.key_to_freq[key]
        del self.freq_to_keys[f][key]
        if not self.freq_to_keys[f]:
            del self.freq_to_keys[f]
            if self.min_freq == f:
                self.min_freq += 1
        self.key_to_freq[key] = f + 1
        self.freq_to_keys[f + 1][key] = None
    def get(self, key):
        if key not in self.key_to_val:
            return -1
        self._bump(key)
        return self.key_to_val[key]
    def put(self, key, value):
        if self.cap &lt;= 0:
            return
        if key in self.key_to_val:
            self.key_to_val[key] = value
            self._bump(key)
            return
        if len(self.key_to_val) &gt;= self.cap:
            evict, _ = self.freq_to_keys[self.min_freq].popitem(last=False)
            del self.key_to_val[evict]; del self.key_to_freq[evict]
        self.key_to_val[key] = value
        self.key_to_freq[key] = 1
        self.freq_to_keys[1][key] = None
        self.min_freq = 1</t>
  </si>
  <si>
    <t>import heapq
class MedianFinder:
    def __init__(self):
        self.lo = []   # max-heap (negated)
        self.hi = []   # min-heap
    def addNum(self, num):
        heapq.heappush(self.lo, -num)
        heapq.heappush(self.hi, -heapq.heappop(self.lo))
        if len(self.hi) &gt; len(self.lo):
            heapq.heappush(self.lo, -heapq.heappop(self.hi))
    def findMedian(self):
        if len(self.lo) &gt; len(self.hi):
            return -self.lo[0]
        return (-self.lo[0] + self.hi[0]) / 2</t>
  </si>
  <si>
    <t>from collections import defaultdict
def hash_join(left, right, lkey, rkey):
    idx = defaultdict(list)
    for r in right:
        idx[r[rkey]].append(r)
    out = []
    for l in left:
        for r in idx.get(l[lkey], []):
            out.append({**l, **r})
    return out</t>
  </si>
  <si>
    <t>from collections import deque
class Deduplicator:
    def __init__(self, ttl_seconds):
        self.ttl = ttl_seconds
        self.seen = {}
        self.q = deque()
    def is_new(self, event_id, ts):
        # evict expired
        while self.q and self.q[0][1] + self.ttl &lt; ts:
            eid, _ = self.q.popleft()
            self.seen.pop(eid, None)
        if event_id in self.seen:
            return False
        self.seen[event_id] = ts
        self.q.append((event_id, ts))
        return True</t>
  </si>
  <si>
    <t>from collections import defaultdict
class LogAggregator:
    def __init__(self, bucket_seconds=60):
        self.buckets = defaultdict(int)
        self.bs = bucket_seconds
    def add(self, ts, key, val=1):
        self.buckets[(ts // self.bs, key)] += val
    def query(self, bucket_id, key):
        return self.buckets.get((bucket_id, key), 0)
    def top(self, bucket_id, k=10):
        items = [(key, v) for (b, key), v in self.buckets.items() if b == bucket_id]
        return sorted(items, key=lambda x: -x[1])[:k]</t>
  </si>
  <si>
    <t>class MinStack:
    def __init__(self):
        self.s, self.m = [], []
    def push(self, x):
        self.s.append(x)
        self.m.append(x if not self.m else min(x, self.m[-1]))
    def pop(self):
        self.s.pop(); self.m.pop()
    def top(self):    return self.s[-1]
    def getMin(self): return self.m[-1]</t>
  </si>
  <si>
    <t>import heapq
from collections import defaultdict
class Twitter:
    def __init__(self):
        self.t = 0
        self.tweets = defaultdict(list)        # user -&gt; [(time, tweetId)]
        self.follows = defaultdict(set)
    def postTweet(self, u, tid):
        self.t += 1
        self.tweets[u].append((self.t, tid))
    def getNewsFeed(self, u):
        h = []
        for v in self.follows[u] | {u}:
            for ts, tid in self.tweets[v][-10:]:
                heapq.heappush(h, (-ts, tid))
        return [heapq.heappop(h)[1] for _ in range(min(10, len(h)))]
    def follow(self, a, b):
        if a != b: self.follows[a].add(b)
    def unfollow(self, a, b):
        self.follows[a].discard(b)</t>
  </si>
  <si>
    <t>class WordDictionary:
    def __init__(self):
        self.r = {}
    def addWord(self, w):
        n = self.r
        for c in w: n = n.setdefault(c, {})
        n['#'] = True
    def search(self, w):
        def dfs(i, n):
            if i == len(w): return '#' in n
            c = w[i]
            if c == '.':
                return any(k != '#' and dfs(i + 1, n[k]) for k in n)
            return c in n and dfs(i + 1, n[c])
        return dfs(0, self.r)</t>
  </si>
  <si>
    <t>from collections import OrderedDict
class LRUCache:
    def __init__(self, capacity):
        self.cap, self.d = capacity, OrderedDict()
    def get(self, key):
        if key not in self.d: return -1
        self.d.move_to_end(key); return self.d[key]
    def put(self, key, value):
        if key in self.d: self.d.move_to_end(key)
        self.d[key] = value
        if len(self.d) &gt; self.cap: self.d.popitem(last=False)</t>
  </si>
  <si>
    <t>from collections import defaultdict
def accountsMerge(accounts):
    parent = {}
    def find(x):
        while parent[x] != x:
            parent[x] = parent[parent[x]]; x = parent[x]
        return x
    email_name = {}
    for acc in accounts:
        name = acc[0]
        for e in acc[1:]:
            parent.setdefault(e, e); email_name[e] = name
            parent[find(e)] = find(acc[1])
    groups = defaultdict(list)
    for e in parent: groups[find(e)].append(e)
    return [[email_name[g[0]]] + sorted(g) for g in groups.values()]</t>
  </si>
  <si>
    <t>from collections import defaultdict
def subarraySum(nums, k):
    cnt = defaultdict(int); cnt[0] = 1
    s = res = 0
    for n in nums:
        s += n
        res += cnt[s - k]
        cnt[s] += 1
    return res</t>
  </si>
  <si>
    <t>from sortedcontainers import SortedList
def medianSlidingWindow(nums, k):
    sl = SortedList(nums[:k]); res = []
    def med(): return (sl[k // 2] + sl[(k - 1) // 2]) / 2
    res.append(med())
    for i in range(k, len(nums)):
        sl.add(nums[i]); sl.remove(nums[i - k])
        res.append(med())
    return res</t>
  </si>
  <si>
    <t>import csv
def filter_and_count(path, predicate):
    count = 0
    with open(path, newline='', encoding='utf-8') as f:
        reader = csv.DictReader(f)
        for row in reader:
            if predicate(row):
                count += 1
    return count
# Example: count rows where status == 'active'
# n = filter_and_count('users.csv', lambda r: r['status'] == 'active')</t>
  </si>
  <si>
    <t>import json, requests
def fetch_temps(url):
    resp = requests.get(url, timeout=10); resp.raise_for_status()
    data = resp.json()
    # Example payload: {"sensors":[{"id":1,"readings":[{"ts":..,"temp_c":21.3},...]}]}
    rows = []
    for sensor in data.get('sensors', []):
        for r in sensor.get('readings', []):
            rows.append({
                'sensor_id': sensor['id'],
                'ts': r['ts'],
                'temp_c': r['temp_c'],
                'temp_f': r['temp_c'] * 9 / 5 + 32,
            })
    return rows</t>
  </si>
  <si>
    <t>import pandas as pd
df = pd.read_csv('sales.csv')
print(f"Rows: {df.shape[0]:,}, Columns: {df.shape[1]}")
print(f"Columns: {list(df.columns)}")
df['revenue'] = df['quantity'] * df['unit_price']
print(f"Total revenue: ${df['revenue'].sum():,.2f}")
print(f"Avg order value: ${df['revenue'].mean():,.2f}")
print(df.describe(include='all'))</t>
  </si>
  <si>
    <t>import requests, json, time
from pathlib import Path
def fetch_prices(coins, vs='usd', out='prices.json'):
    url = "https://api.coingecko.com/api/v3/simple/price"
    resp = requests.get(url, params={'ids': ','.join(coins), 'vs_currencies': vs}, timeout=10)
    resp.raise_for_status()
    payload = {'fetched_at': time.time(), 'prices': resp.json()}
    Path(out).write_text(json.dumps(payload, indent=2))
    return payload
# fetch_prices(['bitcoin', 'ethereum', 'solana'])</t>
  </si>
  <si>
    <t>from collections import Counter
import re
def count_log_levels(path):
    pattern = re.compile(r'\b(DEBUG|INFO|WARN(?:ING)?|ERROR|FATAL|CRITICAL)\b')
    counts = Counter()
    with open(path, encoding='utf-8') as f:
        for line in f:
            m = pattern.search(line)
            if m: counts[m.group(1).upper()] += 1
    return dict(counts.most_common())
# count_log_levels('app.log')</t>
  </si>
  <si>
    <t>from collections import Counter
def isAnagram(s, t):
    return Counter(s) == Counter(t)</t>
  </si>
  <si>
    <t>import re
EMAIL_RE = re.compile(r'[a-zA-Z0-9._%+-]+@[a-zA-Z0-9.-]+\.[a-zA-Z]{2,}')
def extract_emails(path):
    with open(path, encoding='utf-8') as f:
        text = f.read()
    return sorted(set(EMAIL_RE.findall(text)))
# emails = extract_emails('contacts.txt')</t>
  </si>
  <si>
    <t>from fastavro import reader, writer, parse_schema
def sort_avro_by_salary(in_path, out_path, descending=True):
    with open(in_path, 'rb') as f:
        records = list(reader(f))
        schema = reader(open(in_path, 'rb')).writer_schema
    records.sort(key=lambda r: r['salary'], reverse=descending)
    with open(out_path, 'wb') as f:
        writer(f, parse_schema(schema), records)
    return len(records)</t>
  </si>
  <si>
    <t>import re
# E.164 international: +&lt;1-15 digits&gt;; also accept common US formats
PATTERN = re.compile(r'^(?:\+?1[-.\s]?)?\(?[2-9]\d{2}\)?[-.\s]?\d{3}[-.\s]?\d{4}$')
def is_valid_phone(s):
    return bool(PATTERN.match(s.strip()))
def normalize(s):
    digits = re.sub(r'\D', '', s)
    if len(digits) == 10: return f"+1{digits}"
    if len(digits) == 11 and digits.startswith('1'): return f"+{digits}"
    return None</t>
  </si>
  <si>
    <t>import re
from urllib.parse import urlparse
def extract_domain(url):
    # urlparse handles edge cases regex misses
    parsed = urlparse(url if '://' in url else f'http://{url}')
    host = parsed.hostname or ''
    # strip leading 'www.'
    return re.sub(r'^www\.', '', host)
# extract_domain('https://www.example.co.uk/path?x=1') -&gt; 'example.co.uk'</t>
  </si>
  <si>
    <t>import re
def strip_special(s):
    return re.sub(r'^[^\w]+|[^\w]+$', '', s)
# strip_special('***hello, world!!!') -&gt; 'hello, world'</t>
  </si>
  <si>
    <t>import configparser, json
def ini_to_json(ini_path, json_path):
    cp = configparser.ConfigParser()
    cp.read(ini_path, encoding='utf-8')
    data = {section: dict(cp.items(section)) for section in cp.sections()}
    if cp.defaults():
        data['DEFAULT'] = dict(cp.defaults())
    with open(json_path, 'w', encoding='utf-8') as f:
        json.dump(data, f, indent=2)
    return data</t>
  </si>
  <si>
    <t>def twoSum(nums, target):
    seen = {}
    for i, n in enumerate(nums):
        if target - n in seen: return [seen[target - n], i]
        seen[n] = i</t>
  </si>
  <si>
    <t>from collections import defaultdict
def groupAnagrams(strs):
    g = defaultdict(list)
    for s in strs:
        g[''.join(sorted(s))].append(s)
    return list(g.values())</t>
  </si>
  <si>
    <t>import yaml
def deep_merge(a, b):
    if isinstance(a, dict) and isinstance(b, dict):
        out = dict(a)
        for k, v in b.items():
            out[k] = deep_merge(out[k], v) if k in out else v
        return out
    return b   # b wins for non-dicts
def merge_yaml_files(paths):
    merged = {}
    for p in paths:
        with open(p) as f:
            merged = deep_merge(merged, yaml.safe_load(f) or {})
    return merged</t>
  </si>
  <si>
    <t>import json
from collections import Counter
def count_events(path):
    counts = Counter()
    with open(path, encoding='utf-8') as f:
        for line in f:
            line = line.strip()
            if not line: continue
            evt = json.loads(line)
            counts[(evt.get('user_id'), evt.get('event_type'))] += 1
    return counts
# c = count_events('events.jsonl')</t>
  </si>
  <si>
    <t>import pandas as pd
df = pd.read_csv('data.csv')
# Split 'full_name' into 'first' and 'last' on space
df[['first', 'last']] = df['full_name'].str.split(' ', n=1, expand=True)
# Split a tag list into multiple columns
tags = df['tags_csv'].str.split(',', expand=True)
tags.columns = [f'tag_{i+1}' for i in range(tags.shape[1])]
df = pd.concat([df.drop(columns='tags_csv'), tags], axis=1)
df.to_csv('split.csv', index=False)</t>
  </si>
  <si>
    <t>import sqlite3, pandas as pd
def compare(sqlite_path, table, csv_path, key_col):
    db = pd.read_sql(f'SELECT * FROM {table}', sqlite3.connect(sqlite_path))
    csv = pd.read_csv(csv_path)
    only_db  = db[~db[key_col].isin(csv[key_col])]
    only_csv = csv[~csv[key_col].isin(db[key_col])]
    common   = db.merge(csv, on=key_col, suffixes=('_db', '_csv'))
    return {
        'only_in_db':  only_db,
        'only_in_csv': only_csv,
        'differences': common,
    }</t>
  </si>
  <si>
    <t>from collections import Counter
def topKFrequent(nums, k):
    return [n for n, _ in Counter(nums).most_common(k)]</t>
  </si>
  <si>
    <t>def productExceptSelf(nums):
    n = len(nums); out = [1] * n
    left = 1
    for i in range(n):
        out[i] = left; left *= nums[i]
    right = 1
    for i in range(n - 1, -1, -1):
        out[i] *= right; right *= nums[i]
    return out</t>
  </si>
  <si>
    <t>def isValidSudoku(board):
    seen = set()
    for r in range(9):
        for c in range(9):
            v = board[r][c]
            if v == '.': continue
            keys = ((r, v), (v, c), (r // 3, c // 3, v))
            for k in keys:
                if k in seen: return False
                seen.add(k)
    return True</t>
  </si>
  <si>
    <t>def longestConsecutive(nums):
    s, best = set(nums), 0
    for n in s:
        if n - 1 not in s:
            cur, length = n, 1
            while cur + 1 in s:
                cur += 1; length += 1
            best = max(best, length)
    return best</t>
  </si>
  <si>
    <t>def isPalindrome(s):
    cleaned = [c.lower() for c in s if c.isalnum()]
    return cleaned == cleaned[::-1]</t>
  </si>
  <si>
    <t>def twoSum(numbers, target):
    l, r = 0, len(numbers) - 1
    while l &lt; r:
        s = numbers[l] + numbers[r]
        if s == target: return [l + 1, r + 1]
        if s &lt; target: l += 1
        else:          r -= 1</t>
  </si>
  <si>
    <t>def threeSum(nums):
    nums.sort(); res = []
    for i, a in enumerate(nums):
        if i and nums[i] == nums[i - 1]: continue
        l, r = i + 1, len(nums) - 1
        while l &lt; r:
            s = a + nums[l] + nums[r]
            if s == 0:
                res.append([a, nums[l], nums[r]])
                l += 1
                while l &lt; r and nums[l] == nums[l - 1]: l += 1
            elif s &lt; 0: l += 1
            else:       r -= 1
    return res</t>
  </si>
  <si>
    <t>def maxArea(h):
    l, r, best = 0, len(h) - 1, 0
    while l &lt; r:
        best = max(best, (r - l) * min(h[l], h[r]))
        if h[l] &lt; h[r]: l += 1
        else:           r -= 1
    return best</t>
  </si>
  <si>
    <t>def trap(h):
    l, r, lmax, rmax, total = 0, len(h) - 1, 0, 0, 0
    while l &lt; r:
        if h[l] &lt; h[r]:
            lmax = max(lmax, h[l]); total += lmax - h[l]; l += 1
        else:
            rmax = max(rmax, h[r]); total += rmax - h[r]; r -= 1
    return total</t>
  </si>
  <si>
    <t>def maxProfit(prices):
    lo, best = float('inf'), 0
    for p in prices:
        lo = min(lo, p)
        best = max(best, p - lo)
    return best</t>
  </si>
  <si>
    <t>def lengthOfLongestSubstring(s):
    last, l, best = {}, 0, 0
    for r, c in enumerate(s):
        if c in last and last[c] &gt;= l: l = last[c] + 1
        last[c] = r
        best = max(best, r - l + 1)
    return best</t>
  </si>
  <si>
    <t>from collections import Counter
def characterReplacement(s, k):
    cnt = Counter(); l = best = mx = 0
    for r, c in enumerate(s):
        cnt[c] += 1; mx = max(mx, cnt[c])
        if r - l + 1 - mx &gt; k:
            cnt[s[l]] -= 1; l += 1
        best = max(best, r - l + 1)
    return best</t>
  </si>
  <si>
    <t>import pandas as pd
def memory_report(df):
    mem = df.memory_usage(deep=True)
    total_mb = mem.sum() / 1024**2
    print(f"Total: {total_mb:.2f} MB")
    print(mem.sort_values(ascending=False).apply(lambda b: f"{b/1024**2:.2f} MB"))
    # Suggest dtype downcasts
    for col in df.select_dtypes(include='object').columns:
        if df[col].nunique() / len(df) &lt; 0.5:
            print(f"  -&gt; consider category dtype for '{col}'")
    return mem</t>
  </si>
  <si>
    <t>import pandas as pd
import numpy as np
def fill_nulls(df):
    df = df.copy()
    for col in df.columns:
        if pd.api.types.is_numeric_dtype(df[col]):
            df[col] = df[col].fillna(df[col].median())
        elif pd.api.types.is_datetime64_any_dtype(df[col]):
            df[col] = df[col].fillna(df[col].min())
        else:   # object/string/bool
            mode = df[col].mode(dropna=True)
            df[col] = df[col].fillna(mode.iloc[0] if not mode.empty else 'unknown')
    return df</t>
  </si>
  <si>
    <t>import sqlite3, csv
def export_query_to_csv(db_path, query, csv_path, params=()):
    con = sqlite3.connect(db_path)
    cur = con.execute(query, params)
    headers = [d[0] for d in cur.description]
    with open(csv_path, 'w', newline='', encoding='utf-8') as f:
        w = csv.writer(f)
        w.writerow(headers)
        w.writerows(cur)
    con.close()</t>
  </si>
  <si>
    <t>import pandas as pd
df = pd.read_csv('in.csv')
df_sorted = df.sort_values(by='revenue', ascending=False, na_position='last')
df_sorted.to_csv('sorted.csv', index=False)</t>
  </si>
  <si>
    <t>import requests, time
def fetch_all(url, params=None, page_param='page', per_page=100, max_pages=1000):
    rows, page = [], 1
    while page &lt;= max_pages:
        p = {**(params or {}), page_param: page, 'per_page': per_page}
        r = requests.get(url, params=p, timeout=15); r.raise_for_status()
        batch = r.json()
        if not batch: break
        rows.extend(batch)
        if len(batch) &lt; per_page: break
        page += 1
        time.sleep(0.1)   # gentle backoff
    return rows</t>
  </si>
  <si>
    <t>import pandas as pd
from pathlib import Path
def excel_to_csvs(xlsx_path, out_dir):
    out = Path(out_dir); out.mkdir(parents=True, exist_ok=True)
    sheets = pd.read_excel(xlsx_path, sheet_name=None)
    for name, df in sheets.items():
        safe = name.replace('/', '_').replace(' ', '_')
        df.to_csv(out / f'{safe}.csv', index=False)
    return list(sheets.keys())</t>
  </si>
  <si>
    <t>import json, pandas as pd
def flatten(obj, prefix=''):
    out = {}
    if isinstance(obj, dict):
        for k, v in obj.items():
            out.update(flatten(v, f'{prefix}{k}.'))
    elif isinstance(obj, list):
        for i, v in enumerate(obj):
            out.update(flatten(v, f'{prefix}{i}.'))
    else:
        out[prefix.rstrip('.')] = obj
    return out
def json_to_csv(json_path, csv_path):
    with open(json_path) as f: data = json.load(f)
    rows = data if isinstance(data, list) else [data]
    pd.DataFrame([flatten(r) for r in rows]).to_csv(csv_path, index=False)</t>
  </si>
  <si>
    <t>import pandas as pd
def describe_numeric(df):
    num = df.select_dtypes(include='number')
    stats = num.agg(['count', 'mean', 'median', 'std', 'min', 'max', 'skew', 'kurt']).T
    stats['p25'] = num.quantile(0.25)
    stats['p75'] = num.quantile(0.75)
    stats['iqr'] = stats['p75'] - stats['p25']
    stats['nulls'] = df[num.columns].isna().sum()
    return stats</t>
  </si>
  <si>
    <t>import requests, sqlite3
def fetch_to_sqlite(url, db_path, table, page_param='page'):
    con = sqlite3.connect(db_path); cur = con.cursor()
    page = 1
    while True:
        r = requests.get(url, params={page_param: page}, timeout=15); r.raise_for_status()
        batch = r.json()
        if not batch: break
        if page == 1:
            cols = ', '.join(f'"{k}"' for k in batch[0].keys())
            cur.execute(f'CREATE TABLE IF NOT EXISTS {table} ({cols})')
        ph = ', '.join('?' * len(batch[0]))
        cur.executemany(f'INSERT INTO {table} VALUES ({ph})',
                        [tuple(row.values()) for row in batch])
        con.commit(); page += 1
    con.close()</t>
  </si>
  <si>
    <t>from collections import Counter
def checkInclusion(s1, s2):
    need, win = Counter(s1), Counter()
    k = len(s1)
    for i, c in enumerate(s2):
        win[c] += 1
        if i &gt;= k:
            win[s2[i - k]] -= 1
            if win[s2[i - k]] == 0: del win[s2[i - k]]
        if win == need: return True
    return False</t>
  </si>
  <si>
    <t xml:space="preserve">from collections import Counter
def minWindow(s, t):
    if not s or not t: return ""
    need = Counter(t); have = {}
    have_cnt, need_cnt = 0, len(need)
    res, res_len = [-1, -1], float('inf')
    l = 0
    for r, c in enumerate(s):
        have[c] = have.get(c, 0) + 1
        if c in need and have[c] == need[c]: have_cnt += 1
        while have_cnt == need_cnt:
            if r - l + 1 &lt; res_len:
                res, res_len = [l, r], r - l + 1
            have[s[l]] -= 1
            if s[l] in need and have[s[l]] &lt; need[s[l]]: have_cnt -= 1
            l += 1
    return s[res[0]:res[1] + 1] if res_len &lt; float('inf') else </t>
  </si>
  <si>
    <t>from collections import deque
def maxSlidingWindow(nums, k):
    dq, out = deque(), []
    for i, n in enumerate(nums):
        while dq and nums[dq[-1]] &lt; n: dq.pop()
        dq.append(i)
        if dq[0] &lt;= i - k: dq.popleft()
        if i &gt;= k - 1: out.append(nums[dq[0]])
    return out</t>
  </si>
  <si>
    <t>def isValid(s):
    pairs = {')': '(', ']': '[', '}': '{'}
    st = []
    for c in s:
        if c in '([{': st.append(c)
        elif not st or st.pop() != pairs[c]: return False
    return not st</t>
  </si>
  <si>
    <t>import pandas as pd
def rolling_metrics(prices_df, window=20):
    # prices_df: index=date, columns=tickers
    out = {}
    for tick in prices_df.columns:
        s = prices_df[tick]
        out[tick] = pd.DataFrame({
            'ma':         s.rolling(window).mean(),
            'std':        s.rolling(window).std(),
            'ret':        s.pct_change(),
            'vol_annual': s.pct_change().rolling(window).std() * (252**0.5),
            'zscore':     (s - s.rolling(window).mean()) / s.rolling(window).std(),
        })
    return pd.concat(out, axis=1)</t>
  </si>
  <si>
    <t>def evalRPN(tokens):
    st = []
    for t in tokens:
        if t in '+-*/':
            b, a = st.pop(), st.pop()
            st.append(int(a / b) if t == '/' else eval(f"{a}{t}{b}"))
        else:
            st.append(int(t))
    return st[0]</t>
  </si>
  <si>
    <t>def dailyTemperatures(t):
    res = [0] * len(t); st = []
    for i, x in enumerate(t):
        while st and t[st[-1]] &lt; x:
            j = st.pop(); res[j] = i - j
        st.append(i)
    return res</t>
  </si>
  <si>
    <t>def largestRectangleArea(h):
    st, best = [], 0   # stack of (start_index, height)
    for i, x in enumerate(h):
        start = i
        while st and st[-1][1] &gt; x:
            j, y = st.pop()
            best = max(best, y * (i - j))
            start = j
        st.append((start, x))
    for j, y in st:
        best = max(best, y * (len(h) - j))
    return best</t>
  </si>
  <si>
    <t>from urllib.parse import urlparse, urljoin
from bs4 import BeautifulSoup
def external_links(html, base_url):
    soup = BeautifulSoup(html, 'html.parser')
    base_host = urlparse(base_url).hostname or ''
    out = set()
    for a in soup.find_all('a', href=True):
        full = urljoin(base_url, a['href'])
        host = urlparse(full).hostname or ''
        if host and host != base_host:
            out.add(host)
    return sorted(out)</t>
  </si>
  <si>
    <t>def search(nums, target):
    lo, hi = 0, len(nums) - 1
    while lo &lt;= hi:
        mid = (lo + hi) // 2
        if nums[mid] == target: return mid
        if nums[mid] &lt; target:  lo = mid + 1
        else:                   hi = mid - 1
    return -1</t>
  </si>
  <si>
    <t>def searchMatrix(M, target):
    if not M: return False
    m, n = len(M), len(M[0])
    lo, hi = 0, m * n - 1
    while lo &lt;= hi:
        mid = (lo + hi) // 2
        v = M[mid // n][mid % n]
        if v == target: return True
        if v &lt; target: lo = mid + 1
        else:          hi = mid - 1
    return False</t>
  </si>
  <si>
    <t>def minEatingSpeed(piles, h):
    lo, hi = 1, max(piles)
    while lo &lt; hi:
        m = (lo + hi) // 2
        if sum((p + m - 1) // m for p in piles) &lt;= h: hi = m
        else: lo = m + 1
    return lo</t>
  </si>
  <si>
    <t>def findMin(nums):
    lo, hi = 0, len(nums) - 1
    while lo &lt; hi:
        m = (lo + hi) // 2
        if nums[m] &gt; nums[hi]: lo = m + 1
        else:                  hi = m
    return nums[lo]</t>
  </si>
  <si>
    <t>import json, requests
from bs4 import BeautifulSoup
def scrape_meta(urls, out_path='meta.json'):
    rows = []
    for u in urls:
        try:
            r = requests.get(u, timeout=10); r.raise_for_status()
            soup = BeautifulSoup(r.text, 'html.parser')
            tags = {m.get('name') or m.get('property'): m.get('content')
                    for m in soup.find_all('meta')
                    if (m.get('name') or m.get('property')) and m.get('content')}
            rows.append({'url': u, 'title': soup.title.string if soup.title else None, 'meta': tags})
        except Exception as e:
            rows.append({'url': u, 'error': str(e)})
    with open(out_path, 'w') as f: json.dump(rows, f, indent=2)
    return rows</t>
  </si>
  <si>
    <t>def search(nums, target):
    lo, hi = 0, len(nums) - 1
    while lo &lt;= hi:
        m = (lo + hi) // 2
        if nums[m] == target: return m
        if nums[lo] &lt;= nums[m]:
            if nums[lo] &lt;= target &lt; nums[m]: hi = m - 1
            else:                            lo = m + 1
        else:
            if nums[m] &lt; target &lt;= nums[hi]: lo = m + 1
            else:                            hi = m - 1
    return -1</t>
  </si>
  <si>
    <t>import re
from datetime import datetime
FORMATS = [
    '%Y-%m-%d %H:%M:%S',
    '%Y-%m-%dT%H:%M:%S%z',
    '%d/%b/%Y:%H:%M:%S %z',  # Apache
    '%b %d %H:%M:%S',         # syslog
    '%Y/%m/%d %H:%M:%S.%f',
]
TS_RE = re.compile(r'(\d{4}[-/]\d{2}[-/]\d{2}[T ]\d{2}:\d{2}:\d{2}(?:[.,]\d+)?(?:[+-]\d{2}:?\d{2}|Z)?)')
def parse_ts(token):
    for fmt in FORMATS:
        try: return datetime.strptime(token, fmt)
        except ValueError: continue
    return None
def normalize_log(path):
    out = []
    with open(path) as f:
        for line in f:
            m = TS_RE.search(line)
            ts = parse_ts(m.group(1)) if m else None
            out.append({'iso': ts.isoformat() if ts else None, 'raw': line.strip()})
    return out</t>
  </si>
  <si>
    <t>import json
from fastavro import reader
def extract_schema(avro_path, json_path):
    with open(avro_path, 'rb') as f:
        schema = reader(f).writer_schema
    with open(json_path, 'w') as f:
        json.dump(schema, f, indent=2)
    return schema</t>
  </si>
  <si>
    <t>import pandas as pd
from statsmodels.tsa.seasonal import seasonal_decompose
def decompose(series, period, model='additive'):
    # series: pandas Series with DatetimeIndex
    result = seasonal_decompose(series.dropna(), model=model, period=period)
    return pd.DataFrame({
        'observed': result.observed,
        'trend':    result.trend,
        'seasonal': result.seasonal,
        'residual': result.resid,
    })</t>
  </si>
  <si>
    <t>import json, csv
def jsonl_to_csv(in_path, out_path, fields):
    with open(in_path) as f, open(out_path, 'w', newline='') as out:
        w = csv.DictWriter(out, fieldnames=fields, extrasaction='ignore')
        w.writeheader()
        for line in f:
            line = line.strip()
            if not line: continue
            try:
                w.writerow(json.loads(line))
            except json.JSONDecodeError:
                continue   # skip malformed lines</t>
  </si>
  <si>
    <t>import yaml
def deep_merge(a, b):
    if isinstance(a, dict) and isinstance(b, dict):
        out = dict(a)
        for k, v in b.items():
            out[k] = deep_merge(out[k], v) if k in out else v
        return out
    if isinstance(a, list) and isinstance(b, list):
        return a + b   # for lists, concatenate (change to `b` for override)
    return b
def merge_files(*paths):
    merged = {}
    for p in paths:
        with open(p) as f:
            merged = deep_merge(merged, yaml.safe_load(f) or {})
    return merged</t>
  </si>
  <si>
    <t>import pyarrow.parquet as pq
def parquet_schema_info(path):
    pf = pq.ParquetFile(path)
    schema = pf.schema_arrow
    return {
        'num_rows': pf.metadata.num_rows,
        'num_row_groups': pf.metadata.num_row_groups,
        'columns': [
            {'name': f.name, 'type': str(f.type), 'nullable': f.nullable}
            for f in schema
        ],
        'metadata': dict(pf.metadata.metadata or {}),
    }</t>
  </si>
  <si>
    <t>import heapq
def lastStoneWeight(stones):
    h = [-s for s in stones]; heapq.heapify(h)
    while len(h) &gt; 1:
        a, b = -heapq.heappop(h), -heapq.heappop(h)
        if a != b: heapq.heappush(h, -(a - b))
    return -h[0] if h else 0</t>
  </si>
  <si>
    <t>def singleNumber(nums):
    out = 0
    for n in nums: out ^= n
    return out</t>
  </si>
  <si>
    <t>def hammingWeight(n):
    cnt = 0
    while n:
        n &amp;= n - 1; cnt += 1
    return cnt</t>
  </si>
  <si>
    <t>def missingNumber(nums):
    n = len(nums)
    return n * (n + 1) // 2 - sum(nums)</t>
  </si>
  <si>
    <t>def isHappy(n):
    seen = set()
    while n != 1 and n not in seen:
        seen.add(n)
        n = sum(int(d) ** 2 for d in str(n))
    return n == 1</t>
  </si>
  <si>
    <t>def plusOne(digits):
    for i in range(len(digits) - 1, -1, -1):
        if digits[i] &lt; 9:
            digits[i] += 1; return digits
        digits[i] = 0
    return [1] + digits</t>
  </si>
  <si>
    <t>def rotate(matrix):
    n = len(matrix)
    # Transpose
    for i in range(n):
        for j in range(i + 1, n):
            matrix[i][j], matrix[j][i] = matrix[j][i], matrix[i][j]
    # Reverse each row
    for row in matrix:
        row.reverse()</t>
  </si>
  <si>
    <t>def maxSubArray(nums):
    cur = best = nums[0]
    for n in nums[1:]:
        cur = max(n, cur + n)
        best = max(best, cur)
    return best</t>
  </si>
  <si>
    <t>def canAttendMeetings(intervals):
    intervals.sort(key=lambda x: x[0])
    for i in range(1, len(intervals)):
        if intervals[i][0] &lt; intervals[i - 1][1]:
            return False
    return True</t>
  </si>
  <si>
    <t>def merge(intervals):
    intervals.sort(key=lambda x: x[0])
    out = [intervals[0]]
    for s, e in intervals[1:]:
        if s &lt;= out[-1][1]:
            out[-1][1] = max(out[-1][1], e)
        else:
            out.append([s, e])
    return out</t>
  </si>
  <si>
    <t>import pyarrow.parquet as pq
def select_cols(in_path, out_path, columns):
    table = pq.read_table(in_path, columns=columns)
    pq.write_table(table, out_path)
    return table.num_rows</t>
  </si>
  <si>
    <t>import pandas as pd, pyarrow.parquet as pq
def flatten_parquet_to_csv(in_path, out_path):
    df = pq.read_table(in_path).to_pandas()
    # Recursively normalize struct columns
    while True:
        struct_cols = [c for c in df.columns if isinstance(df[c].iloc[0], dict)]
        if not struct_cols: break
        for col in struct_cols:
            normalized = pd.json_normalize(df[col]).add_prefix(f'{col}.')
            df = pd.concat([df.drop(columns=col), normalized], axis=1)
    df.to_csv(out_path, index=False)</t>
  </si>
  <si>
    <t>import pandas as pd
customers = pd.read_csv('customers.csv')
purchases = pd.read_csv('purchases.csv')
merged = customers.merge(purchases, on='customer_id', how='left', indicator=True)
summary = (merged.groupby('customer_id')
                 .agg(orders=('purchase_id', 'count'),
                      total=('amount', 'sum'),
                      first_purchase=('purchase_date', 'min'),
                      last_purchase=('purchase_date', 'max'))
                 .reset_index())
summary.to_csv('customer_summary.csv', index=False)</t>
  </si>
  <si>
    <t>import sqlite3, pandas as pd
con = sqlite3.connect('shop.db')
query = '''
    SELECT c.customer_id, c.name, o.order_id, o.amount, o.order_date
    FROM customers c JOIN orders o ON c.customer_id = o.customer_id
    WHERE o.order_date &gt;= '2025-01-01'
'''
df = pd.read_sql(query, con)
df['month'] = pd.to_datetime(df['order_date']).dt.to_period('M')
report = df.groupby(['customer_id', 'name', 'month'])['amount'].sum().reset_index()
report.to_csv('monthly_customer_revenue.csv', index=False)</t>
  </si>
  <si>
    <t>import sqlite3, pandas as pd
def upsert_csv(csv_path, db_path, table, key_col):
    df = pd.read_csv(csv_path)
    con = sqlite3.connect(db_path)
    existing = pd.read_sql(f'SELECT {key_col} FROM {table}', con)[key_col].tolist()
    new_rows = df[~df[key_col].isin(existing)]
    new_rows.to_sql(table, con, if_exists='append', index=False)
    con.close()
    return len(new_rows)</t>
  </si>
  <si>
    <t>import sqlite3, pandas as pd
con = sqlite3.connect('events.db')
df = pd.read_sql('SELECT user_id, event_type, ts FROM events', con)
df['ts'] = pd.to_datetime(df['ts'])
df['date'] = df['ts'].dt.date
with pd.ExcelWriter('report.xlsx', engine='openpyxl') as xl:
    df.groupby(['date', 'event_type']).size().unstack(fill_value=0).to_excel(xl, 'daily_events')
    df.groupby('user_id').size().nlargest(50).to_excel(xl, 'top_users')
    df.groupby('event_type').size().to_excel(xl, 'event_totals')</t>
  </si>
  <si>
    <t>import pandas as pd
def unified_report(csv_files, json_files, sqlite_path, out_path):
    parts = [pd.read_csv(f) for f in csv_files]
    parts += [pd.read_json(f, lines=True) for f in json_files]
    if sqlite_path:
        import sqlite3
        parts.append(pd.read_sql('SELECT * FROM transactions',
                                 sqlite3.connect(sqlite_path)))
    df = pd.concat(parts, ignore_index=True)
    df = df.drop_duplicates(subset=['transaction_id']).dropna(subset=['amount'])
    report = (df.groupby(['region', pd.Grouper(key='date', freq='M')])
                .agg(revenue=('amount', 'sum'),
                     orders=('transaction_id', 'count'),
                     avg_order=('amount', 'mean'))
                .reset_index())
    report.to_excel(out_path, index=False)
    return report</t>
  </si>
  <si>
    <t>import pandas as pd, sqlite3
from datetime import datetime
def etl_pipeline(source_csv, target_db):
    # EXTRACT
    df = pd.read_csv(source_csv)
    # TRANSFORM - clean
    df = df.dropna(subset=['id'])
    df['email'] = df['email'].str.lower().str.strip()
    df['phone'] = df['phone'].str.replace(r'\D', '', regex=True)
    df['amount'] = pd.to_numeric(df['amount'], errors='coerce').fillna(0)
    df['signup_date'] = pd.to_datetime(df['signup_date'], errors='coerce')
    # TRANSFORM - enrich
    df['signup_year']  = df['signup_date'].dt.year
    df['email_domain'] = df['email'].str.split('@').str[-1]
    df['tier'] = pd.cut(df['amount'], bins=[-1, 100, 1000, float('inf')],
                        labels=['low', 'mid', 'high'])
    # LOAD
    con = sqlite3.connect(target_db)
    df.to_sql('users_clean', con, if_exists='replace', index=False)
    con.execute('CREATE INDEX IF NOT EXISTS ix_email ON users_clean(email)')
    con.commit(); con.close()
    return len(df)</t>
  </si>
  <si>
    <t>import sqlite3, pandas as pd
def sync_catalog(csv_path, db_path):
    df = pd.read_csv(csv_path)
    con = sqlite3.connect(db_path); cur = con.cursor()
    cur.execute('''CREATE TABLE IF NOT EXISTS products (
        product_id TEXT PRIMARY KEY, name TEXT, price REAL,
        category TEXT, updated_at TEXT)''')
    rows = df.to_dict(orient='records')
    cur.executemany('''INSERT INTO products(product_id, name, price, category, updated_at)
        VALUES (:product_id, :name, :price, :category, :updated_at)
        ON CONFLICT(product_id) DO UPDATE SET
          name       = excluded.name,
          price      = excluded.price,
          category   = excluded.category,
          updated_at = excluded.updated_at''', rows)
    con.commit(); con.close()
    return len(rows)</t>
  </si>
  <si>
    <t>import pandas as pd
def stratified_sample(df, strata_col, n_per_stratum=None, frac=None, seed=42):
    if n_per_stratum is not None:
        return (df.groupby(strata_col, group_keys=False)
                  .apply(lambda g: g.sample(n=min(n_per_stratum, len(g)), random_state=seed)))
    return (df.groupby(strata_col, group_keys=False)
              .apply(lambda g: g.sample(frac=frac, random_state=seed)))</t>
  </si>
  <si>
    <t>import pandas as pd
def windowed_aggregates(df, ts_col, value_col, freq='1H'):
    s = df.set_index(pd.to_datetime(df[ts_col])).sort_index()
    agg = s[value_col].resample(freq).agg([
        'count', 'mean', 'std', 'min', 'max',
        ('p50', lambda x: x.quantile(0.50)),
        ('p95', lambda x: x.quantile(0.95)),
    ])
    agg['anomaly'] = (agg['mean'] - agg['mean'].rolling(24).mean()).abs() \
                       &gt; 3 * agg['mean'].rolling(24).std()
    return agg.reset_index()</t>
  </si>
  <si>
    <t>import sqlite3, pandas as pd, pyarrow as pa, pyarrow.parquet as pq
from datetime import datetime
def sqlite_to_parquet(db_path, table, out_path):
    con = sqlite3.connect(db_path)
    df = pd.read_sql(f'SELECT * FROM {table}', con); con.close()
    table_arrow = pa.Table.from_pandas(df).replace_schema_metadata({
        b'source_db':   db_path.encode(),
        b'source_table': table.encode(),
        b'exported_at': datetime.utcnow().isoformat().encode(),
        b'row_count':   str(len(df)).encode(),
    })
    pq.write_table(table_arrow, out_path, compression='snappy')
    return len(df)</t>
  </si>
  <si>
    <t>import pandas as pd
def interpolate_irregular(df, ts_col, value_col, method='time'):
    df = df.set_index(pd.to_datetime(df[ts_col])).sort_index()
    if method == 'time':
        df[value_col] = df[value_col].interpolate(method='time')
    elif method == 'linear':
        df[value_col] = df[value_col].interpolate(method='linear')
    elif method == 'spline':
        df[value_col] = df[value_col].interpolate(method='spline', order=3)
    df[value_col] = df[value_col].ffill().bfill()  # edges
    return df.reset_index()</t>
  </si>
  <si>
    <t>import pandas as pd
from statsmodels.tsa.seasonal import seasonal_decompose
def deseasonalize(series, period):
    decomp = seasonal_decompose(series.dropna(), model='additive', period=period)
    deseasoned = series - decomp.seasonal
    return pd.DataFrame({
        'original':    series,
        'seasonal':    decomp.seasonal,
        'deseasoned':  deseasoned,
        'trend':       decomp.trend,
    })</t>
  </si>
  <si>
    <t>import pandas as pd
from collections import defaultdict
def correlate_traces(log_files):
    # Each file: lines with {'request_id', 'service', 'ts', 'level', 'msg'}
    import json
    traces = defaultdict(list)
    for f in log_files:
        with open(f) as fh:
            for line in fh:
                line = line.strip()
                if not line: continue
                try:
                    ev = json.loads(line)
                    traces[ev['request_id']].append(ev)
                except (json.JSONDecodeError, KeyError):
                    continue
    rows = []
    for req_id, events in traces.items():
        events.sort(key=lambda e: e['ts'])
        rows.append({
            'request_id': req_id,
            'services':   [e['service'] for e in events],
            'duration_ms': (pd.Timestamp(events[-1]['ts']) - pd.Timestamp(events[0]['ts'])).total_seconds() * 1000,
            'errors':     sum(1 for e in events if e.get('level') == 'ERROR'),
            'event_count': len(events),
        })
    return pd.DataFrame(rows)</t>
  </si>
  <si>
    <t>import pandas as pd
from pathlib import Path
def partition_csv_to_monthly_parquet(csv_path, date_col, out_dir):
    df = pd.read_csv(csv_path, parse_dates=[date_col])
    out = Path(out_dir); out.mkdir(parents=True, exist_ok=True)
    df['_year']  = df[date_col].dt.year
    df['_month'] = df[date_col].dt.month
    counts = {}
    for (y, m), part in df.groupby(['_year', '_month']):
        target = out / f'year={y}' / f'month={m:02d}' / 'data.parquet'
        target.parent.mkdir(parents=True, exist_ok=True)
        part.drop(columns=['_year', '_month']).to_parquet(target, index=False)
        counts[f'{y}-{m:02d}'] = len(part)
    return counts</t>
  </si>
  <si>
    <t>import requests, time
from bs4 import BeautifulSoup
def scrape_products(base_url, max_pages=10, delay=0.5):
    rows = []
    for page in range(1, max_pages + 1):
        r = requests.get(f'{base_url}?page={page}', timeout=10)
        if r.status_code != 200: break
        soup = BeautifulSoup(r.text, 'html.parser')
        cards = soup.select('.product-card')
        if not cards: break
        for c in cards:
            rows.append({
                'name':   (c.select_one('.name')  or {}).get_text(strip=True) if c.select_one('.name')  else None,
                'price':  (c.select_one('.price') or {}).get_text(strip=True) if c.select_one('.price') else None,
                'rating': (c.select_one('.rating') or {}).get('data-value'),
                'url':    (c.select_one('a') or {}).get('href'),
            })
        time.sleep(delay)
    return rows</t>
  </si>
  <si>
    <t>def parse_mixed(path):
    headers, transactions, footers = [], [], []
    with open(path, encoding='utf-8') as f:
        for line in f:
            line = line.rstrip('\n')
            if not line: continue
            row_type = line[0]
            if row_type == 'H':       # header: pipe-delimited
                headers.append(line[2:].split('|'))
            elif row_type == 'T':     # transaction: comma-delimited
                transactions.append(line[2:].split(','))
            elif row_type == 'F':     # footer: tab-delimited
                footers.append(line[2:].split('\t'))
    return {'headers': headers, 'transactions': transactions, 'footers': footers}</t>
  </si>
  <si>
    <t>def findMedianSortedArrays(a, b):
    if len(a) &gt; len(b): a, b = b, a
    m, n = len(a), len(b)
    half = (m + n + 1) // 2
    lo, hi = 0, m
    while lo &lt;= hi:
        i = (lo + hi) // 2
        j = half - i
        a_l = a[i - 1] if i &gt; 0 else float('-inf')
        a_r = a[i]     if i &lt; m else float('inf')
        b_l = b[j - 1] if j &gt; 0 else float('-inf')
        b_r = b[j]     if j &lt; n else float('inf')
        if a_l &lt;= b_r and b_l &lt;= a_r:
            if (m + n) % 2: return max(a_l, b_l)
            return (max(a_l, b_l) + min(a_r, b_r)) / 2
        if a_l &gt; b_r: hi = i - 1
        else:         lo = i + 1</t>
  </si>
  <si>
    <t>def reorderList(head):
    # 1. Find middle
    slow = fast = head
    while fast and fast.next: slow, fast = slow.next, fast.next.next
    # 2. Reverse second half
    prev, cur = None, slow.next; slow.next = None
    while cur: cur.next, prev, cur = prev, cur, cur.next
    # 3. Merge
    a, b = head, prev
    while b:
        a.next, b.next, a, b = b, a.next, a.next, b.next</t>
  </si>
  <si>
    <t>def findDuplicate(nums):
    # Floyd's cycle detection (treat as linked list)
    slow = fast = nums[0]
    while True:
        slow = nums[slow]
        fast = nums[nums[fast]]
        if slow == fast: break
    slow = nums[0]
    while slow != fast:
        slow, fast = nums[slow], nums[fast]
    return slow</t>
  </si>
  <si>
    <t>import heapq
def mergeKLists(lists):
    h = []
    for i, node in enumerate(lists):
        if node: heapq.heappush(h, (node.val, i, node))
    dummy = tail = ListNode()
    while h:
        val, i, node = heapq.heappop(h)
        tail.next = node; tail = tail.next
        if node.next: heapq.heappush(h, (node.next.val, i, node.next))
    return dummy.next</t>
  </si>
  <si>
    <t>def reverseKGroup(head, k):
    dummy = ListNode(0, head); group_prev = dummy
    while True:
        kth = group_prev
        for _ in range(k):
            kth = kth.next
            if not kth: return dummy.next
        group_next = kth.next
        # reverse group
        prev, cur = group_next, group_prev.next
        while cur is not group_next:
            cur.next, prev, cur = prev, cur, cur.next
        group_prev.next, group_prev = kth, group_prev.next</t>
  </si>
  <si>
    <t>def diameterOfBinaryTree(root):
    best = 0
    def depth(n):
        nonlocal best
        if not n: return 0
        l, r = depth(n.left), depth(n.right)
        best = max(best, l + r)
        return 1 + max(l, r)
    depth(root); return best</t>
  </si>
  <si>
    <t>def isBalanced(root):
    def h(n):
        if not n: return 0
        l, r = h(n.left), h(n.right)
        if l &lt; 0 or r &lt; 0 or abs(l - r) &gt; 1: return -1
        return 1 + max(l, r)
    return h(root) &gt;= 0</t>
  </si>
  <si>
    <t>from collections import deque
def levelOrder(root):
    if not root: return []
    q, res = deque([root]), []
    while q:
        level = []
        for _ in range(len(q)):
            n = q.popleft(); level.append(n.val)
            if n.left:  q.append(n.left)
            if n.right: q.append(n.right)
        res.append(level)
    return res</t>
  </si>
  <si>
    <t>from collections import deque
def rightSideView(root):
    if not root: return []
    q, res = deque([root]), []
    while q:
        sz = len(q)
        for i in range(sz):
            n = q.popleft()
            if i == sz - 1: res.append(n.val)
            if n.left:  q.append(n.left)
            if n.right: q.append(n.right)
    return res</t>
  </si>
  <si>
    <t>def goodNodes(root):
    def dfs(n, max_so_far):
        if not n: return 0
        good = 1 if n.val &gt;= max_so_far else 0
        m = max(max_so_far, n.val)
        return good + dfs(n.left, m) + dfs(n.right, m)
    return dfs(root, root.val if root else 0)</t>
  </si>
  <si>
    <t>def buildTree(preorder, inorder):
    inorder_idx = {v: i for i, v in enumerate(inorder)}
    pre_iter = iter(preorder)
    def helper(lo, hi):
        if lo &gt; hi: return None
        val = next(pre_iter); idx = inorder_idx[val]
        node = TreeNode(val)
        node.left  = helper(lo, idx - 1)
        node.right = helper(idx + 1, hi)
        return node
    return helper(0, len(inorder) - 1)</t>
  </si>
  <si>
    <t>def maxPathSum(root):
    best = float('-inf')
    def gain(n):
        nonlocal best
        if not n: return 0
        l = max(0, gain(n.left))
        r = max(0, gain(n.right))
        best = max(best, n.val + l + r)
        return n.val + max(l, r)
    gain(root); return best</t>
  </si>
  <si>
    <t>def findWords(board, words):
    # Build trie
    root = {}
    for w in words:
        n = root
        for c in w: n = n.setdefault(c, {})
        n['#'] = w
    R, C = len(board), len(board[0])
    found = set()
    def dfs(r, c, n):
        ch = board[r][c]
        if ch not in n: return
        n = n[ch]
        if '#' in n: found.add(n['#'])
        board[r][c] = '*'
        for dr, dc in [(1,0),(-1,0),(0,1),(0,-1)]:
            nr, nc = r+dr, c+dc
            if 0 &lt;= nr &lt; R and 0 &lt;= nc &lt; C: dfs(nr, nc, n)
        board[r][c] = ch
    for r in range(R):
        for c in range(C): dfs(r, c, root)
    return list(found)</t>
  </si>
  <si>
    <t>import heapq
def kClosest(points, k):
    return heapq.nsmallest(k, points, key=lambda p: p[0]**2 + p[1]**2)</t>
  </si>
  <si>
    <t>import heapq
def findKthLargest(nums, k):
    return heapq.nlargest(k, nums)[-1]</t>
  </si>
  <si>
    <t>from collections import Counter
def leastInterval(tasks, n):
    cnt = Counter(tasks); mx = max(cnt.values())
    ties = sum(1 for v in cnt.values() if v == mx)
    return max(len(tasks), (mx - 1) * (n + 1) + ties)</t>
  </si>
  <si>
    <t>def subsets(nums):
    res = [[]]
    for n in nums:
        res += [s + [n] for s in res]
    return res</t>
  </si>
  <si>
    <t>def combinationSum(candidates, target):
    res = []
    def back(i, path, total):
        if total == target: res.append(path[:]); return
        if total &gt; target or i == len(candidates): return
        path.append(candidates[i]); back(i, path, total + candidates[i]); path.pop()
        back(i + 1, path, total)
    back(0, [], 0); return res</t>
  </si>
  <si>
    <t>from itertools import permutations
def permute(nums):
    return [list(p) for p in permutations(nums)]</t>
  </si>
  <si>
    <t>def subsetsWithDup(nums):
    nums.sort(); res = []
    def back(i, path):
        res.append(path[:])
        for j in range(i, len(nums)):
            if j &gt; i and nums[j] == nums[j - 1]: continue
            path.append(nums[j]); back(j + 1, path); path.pop()
    back(0, []); return res</t>
  </si>
  <si>
    <t>def combinationSum2(candidates, target):
    candidates.sort(); res = []
    def back(i, path, total):
        if total == target: res.append(path[:]); return
        if total &gt; target: return
        for j in range(i, len(candidates)):
            if j &gt; i and candidates[j] == candidates[j - 1]: continue
            path.append(candidates[j])
            back(j + 1, path, total + candidates[j])
            path.pop()
    back(0, [], 0); return res</t>
  </si>
  <si>
    <t>def exist(board, word):
    R, C = len(board), len(board[0])
    def dfs(r, c, i):
        if i == len(word): return True
        if r &lt; 0 or c &lt; 0 or r &gt;= R or c &gt;= C or board[r][c] != word[i]: return False
        board[r][c] = '#'
        ok = any(dfs(r+dr, c+dc, i+1) for dr, dc in [(1,0),(-1,0),(0,1),(0,-1)])
        board[r][c] = word[i]
        return ok
    return any(dfs(r, c, 0) for r in range(R) for c in range(C))</t>
  </si>
  <si>
    <t>def partition(s):
    res = []
    def back(i, path):
        if i == len(s): res.append(path[:]); return
        for j in range(i, len(s)):
            sub = s[i:j+1]
            if sub == sub[::-1]:
                path.append(sub); back(j + 1, path); path.pop()
    back(0, []); return res</t>
  </si>
  <si>
    <t>def letterCombinations(digits):
    if not digits: return []
    keys = {'2':'abc','3':'def','4':'ghi','5':'jkl','6':'mno','7':'pqrs','8':'tuv','9':'wxyz'}
    res = ['']
    for d in digits:
        res = [p + c for p in res for c in keys[d]]
    return res</t>
  </si>
  <si>
    <t>def solveNQueens(n):
    res = []
    cols, diag, anti = set(), set(), set()
    board = [['.'] * n for _ in range(n)]
    def back(r):
        if r == n: res.append([''.join(row) for row in board]); return
        for c in range(n):
            if c in cols or (r - c) in diag or (r + c) in anti: continue
            cols.add(c); diag.add(r - c); anti.add(r + c); board[r][c] = 'Q'
            back(r + 1)
            cols.remove(c); diag.remove(r - c); anti.remove(r + c); board[r][c] = '.'
    back(0); return res</t>
  </si>
  <si>
    <t>def pacificAtlantic(h):
    if not h: return []
    R, C = len(h), len(h[0]); pac, atl = set(), set()
    def dfs(r, c, seen, prev):
        if (r, c) in seen or r&lt;0 or c&lt;0 or r&gt;=R or c&gt;=C or h[r][c] &lt; prev: return
        seen.add((r, c))
        for dr, dc in [(1,0),(-1,0),(0,1),(0,-1)]: dfs(r+dr, c+dc, seen, h[r][c])
    for r in range(R): dfs(r, 0, pac, 0); dfs(r, C-1, atl, 0)
    for c in range(C): dfs(0, c, pac, 0); dfs(R-1, c, atl, 0)
    return list(pac &amp; atl)</t>
  </si>
  <si>
    <t>def solve(board):
    if not board: return
    R, C = len(board), len(board[0])
    def dfs(r, c):
        if r&lt;0 or c&lt;0 or r&gt;=R or c&gt;=C or board[r][c] != 'O': return
        board[r][c] = '#'
        for dr, dc in [(1,0),(-1,0),(0,1),(0,-1)]: dfs(r+dr, c+dc)
    for r in range(R): dfs(r, 0); dfs(r, C-1)
    for c in range(C): dfs(0, c); dfs(R-1, c)
    for r in range(R):
        for c in range(C):
            board[r][c] = 'O' if board[r][c] == '#' else 'X'</t>
  </si>
  <si>
    <t>from collections import deque
def orangesRotting(grid):
    R, C = len(grid), len(grid[0]); q = deque(); fresh = 0
    for r in range(R):
        for c in range(C):
            if grid[r][c] == 2: q.append((r, c, 0))
            elif grid[r][c] == 1: fresh += 1
    minutes = 0
    while q:
        r, c, t = q.popleft(); minutes = t
        for dr, dc in [(1,0),(-1,0),(0,1),(0,-1)]:
            nr, nc = r+dr, c+dc
            if 0&lt;=nr&lt;R and 0&lt;=nc&lt;C and grid[nr][nc] == 1:
                grid[nr][nc] = 2; fresh -= 1; q.append((nr, nc, t+1))
    return minutes if fresh == 0 else -1</t>
  </si>
  <si>
    <t>from collections import deque
def wallsAndGates(rooms):
    if not rooms: return
    R, C = len(rooms), len(rooms[0])
    q = deque((r, c) for r in range(R) for c in range(C) if rooms[r][c] == 0)
    while q:
        r, c = q.popleft()
        for dr, dc in [(1,0),(-1,0),(0,1),(0,-1)]:
            nr, nc = r+dr, c+dc
            if 0&lt;=nr&lt;R and 0&lt;=nc&lt;C and rooms[nr][nc] == 2147483647:
                rooms[nr][nc] = rooms[r][c] + 1; q.append((nr, nc))</t>
  </si>
  <si>
    <t>from collections import defaultdict, deque
def canFinish(n, prereq):
    g = defaultdict(list); deg = [0] * n
    for a, b in prereq: g[b].append(a); deg[a] += 1
    q = deque([i for i in range(n) if deg[i] == 0]); done = 0
    while q:
        x = q.popleft(); done += 1
        for y in g[x]:
            deg[y] -= 1
            if deg[y] == 0: q.append(y)
    return done == n</t>
  </si>
  <si>
    <t>from collections import defaultdict, deque
def findOrder(n, prereq):
    g = defaultdict(list); deg = [0] * n
    for a, b in prereq: g[b].append(a); deg[a] += 1
    q = deque([i for i in range(n) if deg[i] == 0]); order = []
    while q:
        x = q.popleft(); order.append(x)
        for y in g[x]:
            deg[y] -= 1
            if deg[y] == 0: q.append(y)
    return order if len(order) == n else []</t>
  </si>
  <si>
    <t>def findRedundantConnection(edges):
    parent = list(range(len(edges) + 1))
    def find(x):
        while parent[x] != x: parent[x] = parent[parent[x]]; x = parent[x]
        return x
    for a, b in edges:
        ra, rb = find(a), find(b)
        if ra == rb: return [a, b]
        parent[ra] = rb</t>
  </si>
  <si>
    <t>def validTree(n, edges):
    if len(edges) != n - 1: return False
    parent = list(range(n))
    def find(x):
        while parent[x] != x: parent[x] = parent[parent[x]]; x = parent[x]
        return x
    for a, b in edges:
        ra, rb = find(a), find(b)
        if ra == rb: return False
        parent[ra] = rb
    return True</t>
  </si>
  <si>
    <t>from collections import defaultdict, deque
def ladderLength(beginWord, endWord, wordList):
    if endWord not in wordList: return 0
    L = len(beginWord)
    patterns = defaultdict(list)
    for w in wordList:
        for i in range(L):
            patterns[w[:i] + '*' + w[i+1:]].append(w)
    seen = {beginWord}
    q = deque([(beginWord, 1)])
    while q:
        w, d = q.popleft()
        if w == endWord: return d
        for i in range(L):
            for nxt in patterns[w[:i] + '*' + w[i+1:]]:
                if nxt not in seen:
                    seen.add(nxt); q.append((nxt, d + 1))
    return 0</t>
  </si>
  <si>
    <t>from collections import defaultdict
import heapq
def findItinerary(tickets):
    g = defaultdict(list)
    for a, b in sorted(tickets): heapq.heappush(g[a], b)
    route = []
    def dfs(u):
        while g[u]: dfs(heapq.heappop(g[u]))
        route.append(u)
    dfs('JFK'); return route[::-1]</t>
  </si>
  <si>
    <t>import heapq
def minCostConnectPoints(points):
    n = len(points); seen = {0}; total = 0
    h = [(abs(points[0][0] - points[j][0]) + abs(points[0][1] - points[j][1]), j) for j in range(1, n)]
    heapq.heapify(h)
    while len(seen) &lt; n:
        d, u = heapq.heappop(h)
        if u in seen: continue
        seen.add(u); total += d
        for v in range(n):
            if v not in seen:
                heapq.heappush(h, (abs(points[u][0]-points[v][0]) + abs(points[u][1]-points[v][1]), v))
    return total</t>
  </si>
  <si>
    <t>import heapq
from collections import defaultdict
def networkDelayTime(times, n, k):
    g = defaultdict(list)
    for u, v, w in times: g[u].append((v, w))
    dist = {}; pq = [(0, k)]
    while pq:
        d, u = heapq.heappop(pq)
        if u in dist: continue
        dist[u] = d
        for v, w in g[u]:
            if v not in dist: heapq.heappush(pq, (d + w, v))
    return max(dist.values()) if len(dist) == n else -1</t>
  </si>
  <si>
    <t>import heapq
def swimInWater(grid):
    n = len(grid); h = [(grid[0][0], 0, 0)]
    seen = {(0, 0)}; ans = 0
    while h:
        t, r, c = heapq.heappop(h); ans = max(ans, t)
        if (r, c) == (n - 1, n - 1): return ans
        for dr, dc in [(1,0),(-1,0),(0,1),(0,-1)]:
            nr, nc = r+dr, c+dc
            if 0&lt;=nr&lt;n and 0&lt;=nc&lt;n and (nr, nc) not in seen:
                seen.add((nr, nc)); heapq.heappush(h, (grid[nr][nc], nr, nc))</t>
  </si>
  <si>
    <t xml:space="preserve">from collections import defaultdict, deque
def alienOrder(words):
    g = defaultdict(set); deg = {c: 0 for w in words for c in w}
    for a, b in zip(words, words[1:]):
        m = min(len(a), len(b))
        if len(a) &gt; len(b) and a[:m] == b[:m]: return ""   # prefix conflict
        for i in range(m):
            if a[i] != b[i]:
                if b[i] not in g[a[i]]:
                    g[a[i]].add(b[i]); deg[b[i]] += 1
                break
    q = deque([c for c in deg if deg[c] == 0]); order = []
    while q:
        c = q.popleft(); order.append(c)
        for nxt in g[c]:
            deg[nxt] -= 1
            if deg[nxt] == 0: q.append(nxt)
    return ''.join(order) if len(order) == len(deg) else </t>
  </si>
  <si>
    <t>from collections import defaultdict, deque
def findCheapestPrice(n, flights, src, dst, k):
    g = defaultdict(list)
    for u, v, w in flights: g[u].append((v, w))
    INF = float('inf'); cost = [INF] * n; cost[src] = 0
    q = deque([(src, 0, 0)])
    while q:
        u, c, stops = q.popleft()
        if stops &gt; k: continue
        for v, w in g[u]:
            if c + w &lt; cost[v]:
                cost[v] = c + w; q.append((v, c + w, stops + 1))
    return -1 if cost[dst] == INF else cost[dst]</t>
  </si>
  <si>
    <t>def canJump(nums):
    reach = 0
    for i, n in enumerate(nums):
        if i &gt; reach: return False
        reach = max(reach, i + n)
    return True</t>
  </si>
  <si>
    <t>def jump(nums):
    jumps = end = far = 0
    for i in range(len(nums) - 1):
        far = max(far, i + nums[i])
        if i == end: jumps += 1; end = far
    return jumps</t>
  </si>
  <si>
    <t>def canCompleteCircuit(gas, cost):
    if sum(gas) &lt; sum(cost): return -1
    tank = start = 0
    for i in range(len(gas)):
        tank += gas[i] - cost[i]
        if tank &lt; 0: start = i + 1; tank = 0
    return start</t>
  </si>
  <si>
    <t>from collections import Counter
import heapq
def isNStraightHand(hand, k):
    if len(hand) % k: return False
    cnt = Counter(hand); h = list(cnt); heapq.heapify(h)
    while h:
        m = h[0]
        for v in range(m, m + k):
            if cnt[v] == 0: return False
            cnt[v] -= 1
            if cnt[v] == 0:
                if v != h[0]: return False
                heapq.heappop(h)
    return True</t>
  </si>
  <si>
    <t>def mergeTriplets(triplets, target):
    have = [False] * 3
    for t in triplets:
        if all(t[i] &lt;= target[i] for i in range(3)):
            for i in range(3):
                if t[i] == target[i]: have[i] = True
    return all(have)</t>
  </si>
  <si>
    <t>def partitionLabels(s):
    last = {c: i for i, c in enumerate(s)}
    res, start, end = [], 0, 0
    for i, c in enumerate(s):
        end = max(end, last[c])
        if i == end: res.append(end - start + 1); start = i + 1
    return res</t>
  </si>
  <si>
    <t>def checkValidString(s):
    lo = hi = 0
    for c in s:
        lo += 1 if c == '(' else -1
        hi += 1 if c != ')' else -1
        if hi &lt; 0: return False
        lo = max(lo, 0)
    return lo == 0</t>
  </si>
  <si>
    <t>def insert(intervals, newInterval):
    res = []; i, n = 0, len(intervals)
    while i &lt; n and intervals[i][1] &lt; newInterval[0]:
        res.append(intervals[i]); i += 1
    while i &lt; n and intervals[i][0] &lt;= newInterval[1]:
        newInterval = [min(newInterval[0], intervals[i][0]),
                       max(newInterval[1], intervals[i][1])]
        i += 1
    res.append(newInterval)
    while i &lt; n: res.append(intervals[i]); i += 1
    return res</t>
  </si>
  <si>
    <t>def eraseOverlapIntervals(intervals):
    intervals.sort(key=lambda x: x[1])
    end = float('-inf'); removed = 0
    for s, e in intervals:
        if s &gt;= end: end = e
        else: removed += 1
    return removed</t>
  </si>
  <si>
    <t>import heapq
def minMeetingRooms(intervals):
    intervals.sort(key=lambda x: x[0])
    h = []
    for s, e in intervals:
        if h and h[0] &lt;= s: heapq.heappop(h)
        heapq.heappush(h, e)
    return len(h)</t>
  </si>
  <si>
    <t>import heapq
def minInterval(intervals, queries):
    intervals.sort()
    sorted_q = sorted(set(queries))
    res = {}; h = []; i = 0
    for q in sorted_q:
        while i &lt; len(intervals) and intervals[i][0] &lt;= q:
            l, r = intervals[i]
            heapq.heappush(h, (r - l + 1, r)); i += 1
        while h and h[0][1] &lt; q: heapq.heappop(h)
        res[q] = h[0][0] if h else -1
    return [res[q] for q in queries]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</si>
</sst>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Consola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DEBD0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CF3CF"/>
      </patternFill>
    </fill>
    <fill>
      <patternFill patternType="solid">
        <fgColor rgb="FFD6EAF8"/>
        <bgColor rgb="FFD5F5E3"/>
      </patternFill>
    </fill>
    <fill>
      <patternFill patternType="solid">
        <fgColor rgb="FFE8DAEF"/>
        <bgColor rgb="FFFADBD8"/>
      </patternFill>
    </fill>
    <fill>
      <patternFill patternType="solid">
        <fgColor rgb="FFAED6F1"/>
        <bgColor rgb="FFD6EAF8"/>
      </patternFill>
    </fill>
    <fill>
      <patternFill patternType="solid">
        <fgColor rgb="FFF5B7B1"/>
        <bgColor rgb="FFFADBD8"/>
      </patternFill>
    </fill>
    <fill>
      <patternFill patternType="solid">
        <fgColor rgb="FFF9E79F"/>
        <bgColor rgb="FFFDEBD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D5F5E3"/>
      <rgbColor rgb="FFF9E79F"/>
      <rgbColor rgb="FFAED6F1"/>
      <rgbColor rgb="FFFADBD8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6" customWidth="1"/>
    <col min="2" max="2" width="14" customWidth="1"/>
  </cols>
  <sheetData>
    <row r="1" spans="1:4" ht="18" x14ac:dyDescent="0.2">
      <c r="A1" s="1" t="s">
        <v>0</v>
      </c>
      <c r="B1" s="1"/>
      <c r="C1" s="1"/>
      <c r="D1" s="1"/>
    </row>
    <row r="3" spans="1:4" ht="16" x14ac:dyDescent="0.2">
      <c r="A3" s="2" t="s">
        <v>1</v>
      </c>
    </row>
    <row r="4" spans="1:4" x14ac:dyDescent="0.2">
      <c r="A4" t="s">
        <v>2</v>
      </c>
      <c r="B4">
        <f>COUNTA(Index_305!B2:B306)</f>
        <v>305</v>
      </c>
    </row>
    <row r="5" spans="1:4" x14ac:dyDescent="0.2">
      <c r="A5" t="s">
        <v>3</v>
      </c>
      <c r="B5">
        <f>COUNTIF(Index_305!E:E,"Easy")</f>
        <v>111</v>
      </c>
    </row>
    <row r="6" spans="1:4" x14ac:dyDescent="0.2">
      <c r="A6" t="s">
        <v>4</v>
      </c>
      <c r="B6">
        <f>COUNTIF(Index_305!E:E,"Medium")</f>
        <v>167</v>
      </c>
    </row>
    <row r="7" spans="1:4" x14ac:dyDescent="0.2">
      <c r="A7" t="s">
        <v>5</v>
      </c>
      <c r="B7">
        <f>COUNTIF(Index_305!E:E,"Hard")</f>
        <v>27</v>
      </c>
    </row>
    <row r="9" spans="1:4" ht="16" x14ac:dyDescent="0.2">
      <c r="A9" s="2" t="s">
        <v>6</v>
      </c>
    </row>
    <row r="10" spans="1:4" x14ac:dyDescent="0.2">
      <c r="A10" t="s">
        <v>2</v>
      </c>
      <c r="B10">
        <f>COUNTA(Index_167!B2:B168)</f>
        <v>167</v>
      </c>
    </row>
    <row r="11" spans="1:4" x14ac:dyDescent="0.2">
      <c r="A11" t="s">
        <v>7</v>
      </c>
      <c r="B11">
        <f>COUNTIF(Index_167!C:C,"Linux")</f>
        <v>2</v>
      </c>
    </row>
    <row r="12" spans="1:4" x14ac:dyDescent="0.2">
      <c r="A12" t="s">
        <v>8</v>
      </c>
      <c r="B12">
        <f>COUNTIF(Index_167!C:C,"Docker")</f>
        <v>1</v>
      </c>
    </row>
    <row r="13" spans="1:4" x14ac:dyDescent="0.2">
      <c r="A13" t="s">
        <v>9</v>
      </c>
      <c r="B13">
        <f>COUNTIF(Index_167!C:C,"SQL")</f>
        <v>28</v>
      </c>
    </row>
    <row r="14" spans="1:4" x14ac:dyDescent="0.2">
      <c r="A14" t="s">
        <v>10</v>
      </c>
      <c r="B14">
        <f>COUNTIF(Index_167!C:C,"Snowflake")</f>
        <v>22</v>
      </c>
    </row>
    <row r="15" spans="1:4" x14ac:dyDescent="0.2">
      <c r="A15" t="s">
        <v>11</v>
      </c>
      <c r="B15">
        <f>COUNTIF(Index_167!C:C,"Spark")</f>
        <v>20</v>
      </c>
    </row>
    <row r="16" spans="1:4" x14ac:dyDescent="0.2">
      <c r="A16" t="s">
        <v>12</v>
      </c>
      <c r="B16">
        <f>COUNTIF(Index_167!C:C,"Programming")</f>
        <v>79</v>
      </c>
    </row>
    <row r="17" spans="1:2" x14ac:dyDescent="0.2">
      <c r="A17" t="s">
        <v>13</v>
      </c>
      <c r="B17">
        <f>COUNTIF(Index_167!C:C,"Git")</f>
        <v>15</v>
      </c>
    </row>
    <row r="19" spans="1:2" ht="16" x14ac:dyDescent="0.2">
      <c r="A19" s="2" t="s">
        <v>14</v>
      </c>
    </row>
    <row r="20" spans="1:2" x14ac:dyDescent="0.2">
      <c r="A20" t="s">
        <v>2</v>
      </c>
      <c r="B20">
        <f>COUNTA(Index_Git12!B2:B13)</f>
        <v>12</v>
      </c>
    </row>
    <row r="21" spans="1:2" x14ac:dyDescent="0.2">
      <c r="A21" t="s">
        <v>3</v>
      </c>
      <c r="B21">
        <f>COUNTIF(Index_Git12!D:D,"Easy")</f>
        <v>7</v>
      </c>
    </row>
    <row r="22" spans="1:2" x14ac:dyDescent="0.2">
      <c r="A22" t="s">
        <v>4</v>
      </c>
      <c r="B22">
        <f>COUNTIF(Index_Git12!D:D,"Medium")</f>
        <v>5</v>
      </c>
    </row>
    <row r="23" spans="1:2" x14ac:dyDescent="0.2">
      <c r="A23" t="s">
        <v>15</v>
      </c>
      <c r="B23" t="e">
        <f>COUNTIF(Index_Git12!#REF!,"Free")</f>
        <v>#REF!</v>
      </c>
    </row>
    <row r="24" spans="1:2" x14ac:dyDescent="0.2">
      <c r="A24" t="s">
        <v>16</v>
      </c>
      <c r="B24" t="e">
        <f>COUNTIF(Index_Git12!#REF!,"Premium")</f>
        <v>#REF!</v>
      </c>
    </row>
    <row r="26" spans="1:2" ht="16" x14ac:dyDescent="0.2">
      <c r="A26" s="2" t="s">
        <v>17</v>
      </c>
    </row>
    <row r="27" spans="1:2" x14ac:dyDescent="0.2">
      <c r="A27" t="s">
        <v>2</v>
      </c>
      <c r="B27">
        <f>COUNTA(Index_SF51!B2:B52)</f>
        <v>51</v>
      </c>
    </row>
    <row r="28" spans="1:2" x14ac:dyDescent="0.2">
      <c r="A28" t="s">
        <v>3</v>
      </c>
      <c r="B28">
        <f>COUNTIF(Index_SF51!E:E,"Easy")</f>
        <v>20</v>
      </c>
    </row>
    <row r="29" spans="1:2" x14ac:dyDescent="0.2">
      <c r="A29" t="s">
        <v>4</v>
      </c>
      <c r="B29">
        <f>COUNTIF(Index_SF51!E:E,"Medium")</f>
        <v>16</v>
      </c>
    </row>
    <row r="30" spans="1:2" x14ac:dyDescent="0.2">
      <c r="A30" t="s">
        <v>5</v>
      </c>
      <c r="B30">
        <f>COUNTIF(Index_SF51!E:E,"Hard")</f>
        <v>15</v>
      </c>
    </row>
    <row r="32" spans="1:2" ht="16" x14ac:dyDescent="0.2">
      <c r="A32" s="2" t="s">
        <v>18</v>
      </c>
    </row>
    <row r="33" spans="1:2" x14ac:dyDescent="0.2">
      <c r="A33" t="s">
        <v>2</v>
      </c>
      <c r="B33">
        <f>COUNTA(Index_PY175!B2:B176)</f>
        <v>175</v>
      </c>
    </row>
    <row r="34" spans="1:2" x14ac:dyDescent="0.2">
      <c r="A34" t="s">
        <v>3</v>
      </c>
      <c r="B34">
        <f>COUNTIF(Index_PY175!E:E,"Easy")</f>
        <v>48</v>
      </c>
    </row>
    <row r="35" spans="1:2" x14ac:dyDescent="0.2">
      <c r="A35" t="s">
        <v>4</v>
      </c>
      <c r="B35">
        <f>COUNTIF(Index_PY175!E:E,"Medium")</f>
        <v>102</v>
      </c>
    </row>
    <row r="36" spans="1:2" x14ac:dyDescent="0.2">
      <c r="A36" t="s">
        <v>5</v>
      </c>
      <c r="B36">
        <f>COUNTIF(Index_PY175!E:E,"Hard")</f>
        <v>25</v>
      </c>
    </row>
    <row r="37" spans="1:2" x14ac:dyDescent="0.2">
      <c r="A37" t="s">
        <v>15</v>
      </c>
      <c r="B37" t="e">
        <f>COUNTIF(Index_PY175!#REF!,"Free")</f>
        <v>#REF!</v>
      </c>
    </row>
    <row r="38" spans="1:2" x14ac:dyDescent="0.2">
      <c r="A38" t="s">
        <v>16</v>
      </c>
      <c r="B38" t="e">
        <f>COUNTIF(Index_PY175!#REF!,"Premium")</f>
        <v>#REF!</v>
      </c>
    </row>
    <row r="40" spans="1:2" ht="16" x14ac:dyDescent="0.2">
      <c r="A40" s="2" t="s">
        <v>19</v>
      </c>
      <c r="B40">
        <f>B4+B10+B20+B27+B33</f>
        <v>710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6"/>
  <sheetViews>
    <sheetView zoomScaleNormal="100" workbookViewId="0">
      <pane ySplit="1" topLeftCell="A2" activePane="bottomLeft" state="frozen"/>
      <selection pane="bottomLeft" activeCell="F1" sqref="F1:G1048576"/>
    </sheetView>
  </sheetViews>
  <sheetFormatPr baseColWidth="10" defaultColWidth="8.6640625" defaultRowHeight="15" x14ac:dyDescent="0.2"/>
  <cols>
    <col min="1" max="1" width="5" customWidth="1"/>
    <col min="2" max="2" width="60" customWidth="1"/>
    <col min="3" max="3" width="18" customWidth="1"/>
    <col min="4" max="4" width="22" customWidth="1"/>
    <col min="5" max="5" width="11" customWidth="1"/>
  </cols>
  <sheetData>
    <row r="1" spans="1:5" x14ac:dyDescent="0.2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x14ac:dyDescent="0.2">
      <c r="A2" s="4">
        <v>1</v>
      </c>
      <c r="B2" s="4" t="s">
        <v>25</v>
      </c>
      <c r="C2" s="4" t="s">
        <v>26</v>
      </c>
      <c r="D2" s="4" t="s">
        <v>27</v>
      </c>
      <c r="E2" s="5" t="s">
        <v>3</v>
      </c>
    </row>
    <row r="3" spans="1:5" x14ac:dyDescent="0.2">
      <c r="A3" s="4">
        <v>2</v>
      </c>
      <c r="B3" s="4" t="s">
        <v>28</v>
      </c>
      <c r="C3" s="4" t="s">
        <v>29</v>
      </c>
      <c r="D3" s="4" t="s">
        <v>27</v>
      </c>
      <c r="E3" s="5" t="s">
        <v>3</v>
      </c>
    </row>
    <row r="4" spans="1:5" x14ac:dyDescent="0.2">
      <c r="A4" s="4">
        <v>3</v>
      </c>
      <c r="B4" s="4" t="s">
        <v>30</v>
      </c>
      <c r="C4" s="4" t="s">
        <v>31</v>
      </c>
      <c r="D4" s="4" t="s">
        <v>32</v>
      </c>
      <c r="E4" s="5" t="s">
        <v>3</v>
      </c>
    </row>
    <row r="5" spans="1:5" x14ac:dyDescent="0.2">
      <c r="A5" s="4">
        <v>4</v>
      </c>
      <c r="B5" s="4" t="s">
        <v>33</v>
      </c>
      <c r="C5" s="4" t="s">
        <v>34</v>
      </c>
      <c r="D5" s="4" t="s">
        <v>32</v>
      </c>
      <c r="E5" s="5" t="s">
        <v>3</v>
      </c>
    </row>
    <row r="6" spans="1:5" x14ac:dyDescent="0.2">
      <c r="A6" s="4">
        <v>5</v>
      </c>
      <c r="B6" s="4" t="s">
        <v>35</v>
      </c>
      <c r="C6" s="4" t="s">
        <v>36</v>
      </c>
      <c r="D6" s="4" t="s">
        <v>32</v>
      </c>
      <c r="E6" s="5" t="s">
        <v>3</v>
      </c>
    </row>
    <row r="7" spans="1:5" x14ac:dyDescent="0.2">
      <c r="A7" s="4">
        <v>6</v>
      </c>
      <c r="B7" s="4" t="s">
        <v>37</v>
      </c>
      <c r="C7" s="4" t="s">
        <v>38</v>
      </c>
      <c r="D7" s="4" t="s">
        <v>27</v>
      </c>
      <c r="E7" s="5" t="s">
        <v>3</v>
      </c>
    </row>
    <row r="8" spans="1:5" x14ac:dyDescent="0.2">
      <c r="A8" s="4">
        <v>7</v>
      </c>
      <c r="B8" s="4" t="s">
        <v>39</v>
      </c>
      <c r="C8" s="4" t="s">
        <v>40</v>
      </c>
      <c r="D8" s="4" t="s">
        <v>41</v>
      </c>
      <c r="E8" s="5" t="s">
        <v>3</v>
      </c>
    </row>
    <row r="9" spans="1:5" x14ac:dyDescent="0.2">
      <c r="A9" s="4">
        <v>8</v>
      </c>
      <c r="B9" s="4" t="s">
        <v>42</v>
      </c>
      <c r="C9" s="4" t="s">
        <v>43</v>
      </c>
      <c r="D9" s="4" t="s">
        <v>32</v>
      </c>
      <c r="E9" s="5" t="s">
        <v>3</v>
      </c>
    </row>
    <row r="10" spans="1:5" x14ac:dyDescent="0.2">
      <c r="A10" s="4">
        <v>9</v>
      </c>
      <c r="B10" s="4" t="s">
        <v>44</v>
      </c>
      <c r="C10" s="4" t="s">
        <v>40</v>
      </c>
      <c r="D10" s="4" t="s">
        <v>27</v>
      </c>
      <c r="E10" s="5" t="s">
        <v>3</v>
      </c>
    </row>
    <row r="11" spans="1:5" x14ac:dyDescent="0.2">
      <c r="A11" s="4">
        <v>10</v>
      </c>
      <c r="B11" s="4" t="s">
        <v>45</v>
      </c>
      <c r="C11" s="4" t="s">
        <v>46</v>
      </c>
      <c r="D11" s="4" t="s">
        <v>32</v>
      </c>
      <c r="E11" s="5" t="s">
        <v>3</v>
      </c>
    </row>
    <row r="12" spans="1:5" x14ac:dyDescent="0.2">
      <c r="A12" s="4">
        <v>11</v>
      </c>
      <c r="B12" s="4" t="s">
        <v>47</v>
      </c>
      <c r="C12" s="4" t="s">
        <v>48</v>
      </c>
      <c r="D12" s="4" t="s">
        <v>49</v>
      </c>
      <c r="E12" s="5" t="s">
        <v>3</v>
      </c>
    </row>
    <row r="13" spans="1:5" x14ac:dyDescent="0.2">
      <c r="A13" s="4">
        <v>12</v>
      </c>
      <c r="B13" s="4" t="s">
        <v>50</v>
      </c>
      <c r="C13" s="4" t="s">
        <v>51</v>
      </c>
      <c r="D13" s="4" t="s">
        <v>52</v>
      </c>
      <c r="E13" s="5" t="s">
        <v>3</v>
      </c>
    </row>
    <row r="14" spans="1:5" x14ac:dyDescent="0.2">
      <c r="A14" s="4">
        <v>13</v>
      </c>
      <c r="B14" s="4" t="s">
        <v>53</v>
      </c>
      <c r="C14" s="4" t="s">
        <v>54</v>
      </c>
      <c r="D14" s="4" t="s">
        <v>27</v>
      </c>
      <c r="E14" s="5" t="s">
        <v>3</v>
      </c>
    </row>
    <row r="15" spans="1:5" x14ac:dyDescent="0.2">
      <c r="A15" s="4">
        <v>14</v>
      </c>
      <c r="B15" s="4" t="s">
        <v>55</v>
      </c>
      <c r="C15" s="4" t="s">
        <v>56</v>
      </c>
      <c r="D15" s="4" t="s">
        <v>32</v>
      </c>
      <c r="E15" s="5" t="s">
        <v>3</v>
      </c>
    </row>
    <row r="16" spans="1:5" x14ac:dyDescent="0.2">
      <c r="A16" s="4">
        <v>15</v>
      </c>
      <c r="B16" s="4" t="s">
        <v>57</v>
      </c>
      <c r="C16" s="4" t="s">
        <v>58</v>
      </c>
      <c r="D16" s="4" t="s">
        <v>32</v>
      </c>
      <c r="E16" s="5" t="s">
        <v>3</v>
      </c>
    </row>
    <row r="17" spans="1:5" x14ac:dyDescent="0.2">
      <c r="A17" s="4">
        <v>16</v>
      </c>
      <c r="B17" s="4" t="s">
        <v>59</v>
      </c>
      <c r="C17" s="4" t="s">
        <v>60</v>
      </c>
      <c r="D17" s="4" t="s">
        <v>27</v>
      </c>
      <c r="E17" s="5" t="s">
        <v>3</v>
      </c>
    </row>
    <row r="18" spans="1:5" x14ac:dyDescent="0.2">
      <c r="A18" s="4">
        <v>17</v>
      </c>
      <c r="B18" s="4" t="s">
        <v>61</v>
      </c>
      <c r="C18" s="4" t="s">
        <v>62</v>
      </c>
      <c r="D18" s="4" t="s">
        <v>49</v>
      </c>
      <c r="E18" s="5" t="s">
        <v>3</v>
      </c>
    </row>
    <row r="19" spans="1:5" x14ac:dyDescent="0.2">
      <c r="A19" s="4">
        <v>18</v>
      </c>
      <c r="B19" s="4" t="s">
        <v>63</v>
      </c>
      <c r="C19" s="4" t="s">
        <v>64</v>
      </c>
      <c r="D19" s="4" t="s">
        <v>32</v>
      </c>
      <c r="E19" s="5" t="s">
        <v>3</v>
      </c>
    </row>
    <row r="20" spans="1:5" x14ac:dyDescent="0.2">
      <c r="A20" s="4">
        <v>19</v>
      </c>
      <c r="B20" s="4" t="s">
        <v>65</v>
      </c>
      <c r="C20" s="4" t="s">
        <v>66</v>
      </c>
      <c r="D20" s="4" t="s">
        <v>32</v>
      </c>
      <c r="E20" s="5" t="s">
        <v>3</v>
      </c>
    </row>
    <row r="21" spans="1:5" x14ac:dyDescent="0.2">
      <c r="A21" s="4">
        <v>20</v>
      </c>
      <c r="B21" s="4" t="s">
        <v>67</v>
      </c>
      <c r="C21" s="4" t="s">
        <v>68</v>
      </c>
      <c r="D21" s="4" t="s">
        <v>49</v>
      </c>
      <c r="E21" s="5" t="s">
        <v>3</v>
      </c>
    </row>
    <row r="22" spans="1:5" x14ac:dyDescent="0.2">
      <c r="A22" s="4">
        <v>21</v>
      </c>
      <c r="B22" s="4" t="s">
        <v>69</v>
      </c>
      <c r="C22" s="4" t="s">
        <v>70</v>
      </c>
      <c r="D22" s="4" t="s">
        <v>41</v>
      </c>
      <c r="E22" s="5" t="s">
        <v>3</v>
      </c>
    </row>
    <row r="23" spans="1:5" x14ac:dyDescent="0.2">
      <c r="A23" s="4">
        <v>22</v>
      </c>
      <c r="B23" s="4" t="s">
        <v>71</v>
      </c>
      <c r="C23" s="4" t="s">
        <v>72</v>
      </c>
      <c r="D23" s="4" t="s">
        <v>27</v>
      </c>
      <c r="E23" s="5" t="s">
        <v>3</v>
      </c>
    </row>
    <row r="24" spans="1:5" x14ac:dyDescent="0.2">
      <c r="A24" s="4">
        <v>23</v>
      </c>
      <c r="B24" s="4" t="s">
        <v>73</v>
      </c>
      <c r="C24" s="4" t="s">
        <v>60</v>
      </c>
      <c r="D24" s="4" t="s">
        <v>27</v>
      </c>
      <c r="E24" s="5" t="s">
        <v>3</v>
      </c>
    </row>
    <row r="25" spans="1:5" x14ac:dyDescent="0.2">
      <c r="A25" s="4">
        <v>24</v>
      </c>
      <c r="B25" s="4" t="s">
        <v>74</v>
      </c>
      <c r="C25" s="4" t="s">
        <v>75</v>
      </c>
      <c r="D25" s="4" t="s">
        <v>49</v>
      </c>
      <c r="E25" s="5" t="s">
        <v>3</v>
      </c>
    </row>
    <row r="26" spans="1:5" x14ac:dyDescent="0.2">
      <c r="A26" s="4">
        <v>25</v>
      </c>
      <c r="B26" s="4" t="s">
        <v>76</v>
      </c>
      <c r="C26" s="4" t="s">
        <v>56</v>
      </c>
      <c r="D26" s="4" t="s">
        <v>77</v>
      </c>
      <c r="E26" s="5" t="s">
        <v>3</v>
      </c>
    </row>
    <row r="27" spans="1:5" x14ac:dyDescent="0.2">
      <c r="A27" s="4">
        <v>26</v>
      </c>
      <c r="B27" s="4" t="s">
        <v>78</v>
      </c>
      <c r="C27" s="4" t="s">
        <v>79</v>
      </c>
      <c r="D27" s="4" t="s">
        <v>32</v>
      </c>
      <c r="E27" s="5" t="s">
        <v>3</v>
      </c>
    </row>
    <row r="28" spans="1:5" x14ac:dyDescent="0.2">
      <c r="A28" s="4">
        <v>27</v>
      </c>
      <c r="B28" s="4" t="s">
        <v>80</v>
      </c>
      <c r="C28" s="4" t="s">
        <v>81</v>
      </c>
      <c r="D28" s="4" t="s">
        <v>49</v>
      </c>
      <c r="E28" s="5" t="s">
        <v>3</v>
      </c>
    </row>
    <row r="29" spans="1:5" x14ac:dyDescent="0.2">
      <c r="A29" s="4">
        <v>28</v>
      </c>
      <c r="B29" s="4" t="s">
        <v>82</v>
      </c>
      <c r="C29" s="4" t="s">
        <v>83</v>
      </c>
      <c r="D29" s="4" t="s">
        <v>27</v>
      </c>
      <c r="E29" s="5" t="s">
        <v>3</v>
      </c>
    </row>
    <row r="30" spans="1:5" x14ac:dyDescent="0.2">
      <c r="A30" s="4">
        <v>29</v>
      </c>
      <c r="B30" s="4" t="s">
        <v>84</v>
      </c>
      <c r="C30" s="4" t="s">
        <v>85</v>
      </c>
      <c r="D30" s="4" t="s">
        <v>27</v>
      </c>
      <c r="E30" s="5" t="s">
        <v>3</v>
      </c>
    </row>
    <row r="31" spans="1:5" x14ac:dyDescent="0.2">
      <c r="A31" s="4">
        <v>30</v>
      </c>
      <c r="B31" s="4" t="s">
        <v>86</v>
      </c>
      <c r="C31" s="4" t="s">
        <v>87</v>
      </c>
      <c r="D31" s="4" t="s">
        <v>27</v>
      </c>
      <c r="E31" s="5" t="s">
        <v>3</v>
      </c>
    </row>
    <row r="32" spans="1:5" x14ac:dyDescent="0.2">
      <c r="A32" s="4">
        <v>31</v>
      </c>
      <c r="B32" s="4" t="s">
        <v>88</v>
      </c>
      <c r="C32" s="4" t="s">
        <v>58</v>
      </c>
      <c r="D32" s="4" t="s">
        <v>27</v>
      </c>
      <c r="E32" s="5" t="s">
        <v>3</v>
      </c>
    </row>
    <row r="33" spans="1:5" x14ac:dyDescent="0.2">
      <c r="A33" s="4">
        <v>32</v>
      </c>
      <c r="B33" s="4" t="s">
        <v>89</v>
      </c>
      <c r="C33" s="4" t="s">
        <v>90</v>
      </c>
      <c r="D33" s="4" t="s">
        <v>27</v>
      </c>
      <c r="E33" s="5" t="s">
        <v>3</v>
      </c>
    </row>
    <row r="34" spans="1:5" x14ac:dyDescent="0.2">
      <c r="A34" s="4">
        <v>33</v>
      </c>
      <c r="B34" s="4" t="s">
        <v>91</v>
      </c>
      <c r="C34" s="4" t="s">
        <v>92</v>
      </c>
      <c r="D34" s="4" t="s">
        <v>27</v>
      </c>
      <c r="E34" s="5" t="s">
        <v>3</v>
      </c>
    </row>
    <row r="35" spans="1:5" x14ac:dyDescent="0.2">
      <c r="A35" s="4">
        <v>34</v>
      </c>
      <c r="B35" s="4" t="s">
        <v>93</v>
      </c>
      <c r="C35" s="4" t="s">
        <v>58</v>
      </c>
      <c r="D35" s="4" t="s">
        <v>32</v>
      </c>
      <c r="E35" s="5" t="s">
        <v>3</v>
      </c>
    </row>
    <row r="36" spans="1:5" x14ac:dyDescent="0.2">
      <c r="A36" s="4">
        <v>35</v>
      </c>
      <c r="B36" s="4" t="s">
        <v>94</v>
      </c>
      <c r="C36" s="4" t="s">
        <v>95</v>
      </c>
      <c r="D36" s="4" t="s">
        <v>27</v>
      </c>
      <c r="E36" s="5" t="s">
        <v>3</v>
      </c>
    </row>
    <row r="37" spans="1:5" x14ac:dyDescent="0.2">
      <c r="A37" s="4">
        <v>36</v>
      </c>
      <c r="B37" s="4" t="s">
        <v>96</v>
      </c>
      <c r="C37" s="4" t="s">
        <v>75</v>
      </c>
      <c r="D37" s="4" t="s">
        <v>27</v>
      </c>
      <c r="E37" s="5" t="s">
        <v>3</v>
      </c>
    </row>
    <row r="38" spans="1:5" x14ac:dyDescent="0.2">
      <c r="A38" s="4">
        <v>37</v>
      </c>
      <c r="B38" s="4" t="s">
        <v>97</v>
      </c>
      <c r="C38" s="4" t="s">
        <v>98</v>
      </c>
      <c r="D38" s="4" t="s">
        <v>27</v>
      </c>
      <c r="E38" s="5" t="s">
        <v>3</v>
      </c>
    </row>
    <row r="39" spans="1:5" x14ac:dyDescent="0.2">
      <c r="A39" s="4">
        <v>38</v>
      </c>
      <c r="B39" s="4" t="s">
        <v>99</v>
      </c>
      <c r="C39" s="4" t="s">
        <v>100</v>
      </c>
      <c r="D39" s="4" t="s">
        <v>32</v>
      </c>
      <c r="E39" s="5" t="s">
        <v>3</v>
      </c>
    </row>
    <row r="40" spans="1:5" x14ac:dyDescent="0.2">
      <c r="A40" s="4">
        <v>39</v>
      </c>
      <c r="B40" s="4" t="s">
        <v>101</v>
      </c>
      <c r="C40" s="4" t="s">
        <v>102</v>
      </c>
      <c r="D40" s="4" t="s">
        <v>27</v>
      </c>
      <c r="E40" s="5" t="s">
        <v>3</v>
      </c>
    </row>
    <row r="41" spans="1:5" x14ac:dyDescent="0.2">
      <c r="A41" s="4">
        <v>40</v>
      </c>
      <c r="B41" s="4" t="s">
        <v>103</v>
      </c>
      <c r="C41" s="4" t="s">
        <v>98</v>
      </c>
      <c r="D41" s="4" t="s">
        <v>27</v>
      </c>
      <c r="E41" s="5" t="s">
        <v>3</v>
      </c>
    </row>
    <row r="42" spans="1:5" x14ac:dyDescent="0.2">
      <c r="A42" s="4">
        <v>41</v>
      </c>
      <c r="B42" s="4" t="s">
        <v>104</v>
      </c>
      <c r="C42" s="4" t="s">
        <v>105</v>
      </c>
      <c r="D42" s="4" t="s">
        <v>27</v>
      </c>
      <c r="E42" s="5" t="s">
        <v>3</v>
      </c>
    </row>
    <row r="43" spans="1:5" x14ac:dyDescent="0.2">
      <c r="A43" s="4">
        <v>42</v>
      </c>
      <c r="B43" s="4" t="s">
        <v>106</v>
      </c>
      <c r="C43" s="4" t="s">
        <v>107</v>
      </c>
      <c r="D43" s="4" t="s">
        <v>32</v>
      </c>
      <c r="E43" s="5" t="s">
        <v>3</v>
      </c>
    </row>
    <row r="44" spans="1:5" x14ac:dyDescent="0.2">
      <c r="A44" s="4">
        <v>43</v>
      </c>
      <c r="B44" s="4" t="s">
        <v>108</v>
      </c>
      <c r="C44" s="4" t="s">
        <v>31</v>
      </c>
      <c r="D44" s="4" t="s">
        <v>27</v>
      </c>
      <c r="E44" s="5" t="s">
        <v>3</v>
      </c>
    </row>
    <row r="45" spans="1:5" x14ac:dyDescent="0.2">
      <c r="A45" s="4">
        <v>44</v>
      </c>
      <c r="B45" s="4" t="s">
        <v>109</v>
      </c>
      <c r="C45" s="4" t="s">
        <v>110</v>
      </c>
      <c r="D45" s="4" t="s">
        <v>27</v>
      </c>
      <c r="E45" s="5" t="s">
        <v>3</v>
      </c>
    </row>
    <row r="46" spans="1:5" x14ac:dyDescent="0.2">
      <c r="A46" s="4">
        <v>45</v>
      </c>
      <c r="B46" s="4" t="s">
        <v>111</v>
      </c>
      <c r="C46" s="4" t="s">
        <v>112</v>
      </c>
      <c r="D46" s="4" t="s">
        <v>27</v>
      </c>
      <c r="E46" s="5" t="s">
        <v>3</v>
      </c>
    </row>
    <row r="47" spans="1:5" x14ac:dyDescent="0.2">
      <c r="A47" s="4">
        <v>46</v>
      </c>
      <c r="B47" s="4" t="s">
        <v>113</v>
      </c>
      <c r="C47" s="4" t="s">
        <v>114</v>
      </c>
      <c r="D47" s="4" t="s">
        <v>32</v>
      </c>
      <c r="E47" s="5" t="s">
        <v>3</v>
      </c>
    </row>
    <row r="48" spans="1:5" x14ac:dyDescent="0.2">
      <c r="A48" s="4">
        <v>47</v>
      </c>
      <c r="B48" s="4" t="s">
        <v>115</v>
      </c>
      <c r="C48" s="4" t="s">
        <v>116</v>
      </c>
      <c r="D48" s="4" t="s">
        <v>32</v>
      </c>
      <c r="E48" s="5" t="s">
        <v>3</v>
      </c>
    </row>
    <row r="49" spans="1:5" x14ac:dyDescent="0.2">
      <c r="A49" s="4">
        <v>48</v>
      </c>
      <c r="B49" s="4" t="s">
        <v>117</v>
      </c>
      <c r="C49" s="4" t="s">
        <v>118</v>
      </c>
      <c r="D49" s="4" t="s">
        <v>32</v>
      </c>
      <c r="E49" s="5" t="s">
        <v>3</v>
      </c>
    </row>
    <row r="50" spans="1:5" x14ac:dyDescent="0.2">
      <c r="A50" s="4">
        <v>49</v>
      </c>
      <c r="B50" s="4" t="s">
        <v>119</v>
      </c>
      <c r="C50" s="4" t="s">
        <v>40</v>
      </c>
      <c r="D50" s="4" t="s">
        <v>49</v>
      </c>
      <c r="E50" s="5" t="s">
        <v>3</v>
      </c>
    </row>
    <row r="51" spans="1:5" x14ac:dyDescent="0.2">
      <c r="A51" s="4">
        <v>50</v>
      </c>
      <c r="B51" s="4" t="s">
        <v>120</v>
      </c>
      <c r="C51" s="4" t="s">
        <v>121</v>
      </c>
      <c r="D51" s="4" t="s">
        <v>32</v>
      </c>
      <c r="E51" s="5" t="s">
        <v>3</v>
      </c>
    </row>
    <row r="52" spans="1:5" x14ac:dyDescent="0.2">
      <c r="A52" s="4">
        <v>51</v>
      </c>
      <c r="B52" s="4" t="s">
        <v>122</v>
      </c>
      <c r="C52" s="4" t="s">
        <v>85</v>
      </c>
      <c r="D52" s="4" t="s">
        <v>32</v>
      </c>
      <c r="E52" s="5" t="s">
        <v>3</v>
      </c>
    </row>
    <row r="53" spans="1:5" x14ac:dyDescent="0.2">
      <c r="A53" s="4">
        <v>52</v>
      </c>
      <c r="B53" s="4" t="s">
        <v>123</v>
      </c>
      <c r="C53" s="4" t="s">
        <v>124</v>
      </c>
      <c r="D53" s="4" t="s">
        <v>27</v>
      </c>
      <c r="E53" s="5" t="s">
        <v>3</v>
      </c>
    </row>
    <row r="54" spans="1:5" x14ac:dyDescent="0.2">
      <c r="A54" s="4">
        <v>53</v>
      </c>
      <c r="B54" s="4" t="s">
        <v>125</v>
      </c>
      <c r="C54" s="4" t="s">
        <v>126</v>
      </c>
      <c r="D54" s="4" t="s">
        <v>32</v>
      </c>
      <c r="E54" s="5" t="s">
        <v>3</v>
      </c>
    </row>
    <row r="55" spans="1:5" x14ac:dyDescent="0.2">
      <c r="A55" s="4">
        <v>54</v>
      </c>
      <c r="B55" s="4" t="s">
        <v>127</v>
      </c>
      <c r="C55" s="4" t="s">
        <v>48</v>
      </c>
      <c r="D55" s="4" t="s">
        <v>27</v>
      </c>
      <c r="E55" s="5" t="s">
        <v>3</v>
      </c>
    </row>
    <row r="56" spans="1:5" x14ac:dyDescent="0.2">
      <c r="A56" s="4">
        <v>55</v>
      </c>
      <c r="B56" s="4" t="s">
        <v>128</v>
      </c>
      <c r="C56" s="4" t="s">
        <v>43</v>
      </c>
      <c r="D56" s="4" t="s">
        <v>27</v>
      </c>
      <c r="E56" s="5" t="s">
        <v>3</v>
      </c>
    </row>
    <row r="57" spans="1:5" x14ac:dyDescent="0.2">
      <c r="A57" s="4">
        <v>56</v>
      </c>
      <c r="B57" s="4" t="s">
        <v>129</v>
      </c>
      <c r="C57" s="4" t="s">
        <v>105</v>
      </c>
      <c r="D57" s="4" t="s">
        <v>32</v>
      </c>
      <c r="E57" s="5" t="s">
        <v>3</v>
      </c>
    </row>
    <row r="58" spans="1:5" x14ac:dyDescent="0.2">
      <c r="A58" s="4">
        <v>57</v>
      </c>
      <c r="B58" s="4" t="s">
        <v>130</v>
      </c>
      <c r="C58" s="4" t="s">
        <v>131</v>
      </c>
      <c r="D58" s="4" t="s">
        <v>27</v>
      </c>
      <c r="E58" s="5" t="s">
        <v>3</v>
      </c>
    </row>
    <row r="59" spans="1:5" x14ac:dyDescent="0.2">
      <c r="A59" s="4">
        <v>58</v>
      </c>
      <c r="B59" s="4" t="s">
        <v>132</v>
      </c>
      <c r="C59" s="4" t="s">
        <v>133</v>
      </c>
      <c r="D59" s="4" t="s">
        <v>27</v>
      </c>
      <c r="E59" s="5" t="s">
        <v>3</v>
      </c>
    </row>
    <row r="60" spans="1:5" x14ac:dyDescent="0.2">
      <c r="A60" s="4">
        <v>59</v>
      </c>
      <c r="B60" s="4" t="s">
        <v>134</v>
      </c>
      <c r="C60" s="4" t="s">
        <v>116</v>
      </c>
      <c r="D60" s="4" t="s">
        <v>27</v>
      </c>
      <c r="E60" s="5" t="s">
        <v>3</v>
      </c>
    </row>
    <row r="61" spans="1:5" x14ac:dyDescent="0.2">
      <c r="A61" s="4">
        <v>60</v>
      </c>
      <c r="B61" s="4" t="s">
        <v>135</v>
      </c>
      <c r="C61" s="4" t="s">
        <v>136</v>
      </c>
      <c r="D61" s="4" t="s">
        <v>27</v>
      </c>
      <c r="E61" s="5" t="s">
        <v>3</v>
      </c>
    </row>
    <row r="62" spans="1:5" x14ac:dyDescent="0.2">
      <c r="A62" s="4">
        <v>61</v>
      </c>
      <c r="B62" s="4" t="s">
        <v>137</v>
      </c>
      <c r="C62" s="4" t="s">
        <v>138</v>
      </c>
      <c r="D62" s="4" t="s">
        <v>27</v>
      </c>
      <c r="E62" s="5" t="s">
        <v>3</v>
      </c>
    </row>
    <row r="63" spans="1:5" x14ac:dyDescent="0.2">
      <c r="A63" s="4">
        <v>62</v>
      </c>
      <c r="B63" s="4" t="s">
        <v>139</v>
      </c>
      <c r="C63" s="4" t="s">
        <v>140</v>
      </c>
      <c r="D63" s="4" t="s">
        <v>32</v>
      </c>
      <c r="E63" s="5" t="s">
        <v>3</v>
      </c>
    </row>
    <row r="64" spans="1:5" x14ac:dyDescent="0.2">
      <c r="A64" s="4">
        <v>63</v>
      </c>
      <c r="B64" s="4" t="s">
        <v>141</v>
      </c>
      <c r="C64" s="4" t="s">
        <v>43</v>
      </c>
      <c r="D64" s="4" t="s">
        <v>27</v>
      </c>
      <c r="E64" s="5" t="s">
        <v>3</v>
      </c>
    </row>
    <row r="65" spans="1:5" x14ac:dyDescent="0.2">
      <c r="A65" s="4">
        <v>64</v>
      </c>
      <c r="B65" s="4" t="s">
        <v>142</v>
      </c>
      <c r="C65" s="4" t="s">
        <v>143</v>
      </c>
      <c r="D65" s="4" t="s">
        <v>41</v>
      </c>
      <c r="E65" s="5" t="s">
        <v>3</v>
      </c>
    </row>
    <row r="66" spans="1:5" x14ac:dyDescent="0.2">
      <c r="A66" s="4">
        <v>65</v>
      </c>
      <c r="B66" s="4" t="s">
        <v>144</v>
      </c>
      <c r="C66" s="4" t="s">
        <v>46</v>
      </c>
      <c r="D66" s="4" t="s">
        <v>27</v>
      </c>
      <c r="E66" s="5" t="s">
        <v>3</v>
      </c>
    </row>
    <row r="67" spans="1:5" x14ac:dyDescent="0.2">
      <c r="A67" s="4">
        <v>66</v>
      </c>
      <c r="B67" s="4" t="s">
        <v>145</v>
      </c>
      <c r="C67" s="4" t="s">
        <v>98</v>
      </c>
      <c r="D67" s="4" t="s">
        <v>27</v>
      </c>
      <c r="E67" s="5" t="s">
        <v>3</v>
      </c>
    </row>
    <row r="68" spans="1:5" x14ac:dyDescent="0.2">
      <c r="A68" s="4">
        <v>67</v>
      </c>
      <c r="B68" s="4" t="s">
        <v>146</v>
      </c>
      <c r="C68" s="4" t="s">
        <v>66</v>
      </c>
      <c r="D68" s="4" t="s">
        <v>27</v>
      </c>
      <c r="E68" s="5" t="s">
        <v>3</v>
      </c>
    </row>
    <row r="69" spans="1:5" x14ac:dyDescent="0.2">
      <c r="A69" s="4">
        <v>68</v>
      </c>
      <c r="B69" s="4" t="s">
        <v>147</v>
      </c>
      <c r="C69" s="4" t="s">
        <v>148</v>
      </c>
      <c r="D69" s="4" t="s">
        <v>27</v>
      </c>
      <c r="E69" s="5" t="s">
        <v>3</v>
      </c>
    </row>
    <row r="70" spans="1:5" x14ac:dyDescent="0.2">
      <c r="A70" s="4">
        <v>69</v>
      </c>
      <c r="B70" s="4" t="s">
        <v>149</v>
      </c>
      <c r="C70" s="4" t="s">
        <v>150</v>
      </c>
      <c r="D70" s="4" t="s">
        <v>32</v>
      </c>
      <c r="E70" s="5" t="s">
        <v>3</v>
      </c>
    </row>
    <row r="71" spans="1:5" x14ac:dyDescent="0.2">
      <c r="A71" s="4">
        <v>70</v>
      </c>
      <c r="B71" s="4" t="s">
        <v>151</v>
      </c>
      <c r="C71" s="4" t="s">
        <v>152</v>
      </c>
      <c r="D71" s="4" t="s">
        <v>27</v>
      </c>
      <c r="E71" s="5" t="s">
        <v>3</v>
      </c>
    </row>
    <row r="72" spans="1:5" x14ac:dyDescent="0.2">
      <c r="A72" s="4">
        <v>71</v>
      </c>
      <c r="B72" s="4" t="s">
        <v>153</v>
      </c>
      <c r="C72" s="4" t="s">
        <v>154</v>
      </c>
      <c r="D72" s="4" t="s">
        <v>27</v>
      </c>
      <c r="E72" s="5" t="s">
        <v>3</v>
      </c>
    </row>
    <row r="73" spans="1:5" x14ac:dyDescent="0.2">
      <c r="A73" s="4">
        <v>72</v>
      </c>
      <c r="B73" s="4" t="s">
        <v>155</v>
      </c>
      <c r="C73" s="4" t="s">
        <v>156</v>
      </c>
      <c r="D73" s="4" t="s">
        <v>27</v>
      </c>
      <c r="E73" s="5" t="s">
        <v>3</v>
      </c>
    </row>
    <row r="74" spans="1:5" x14ac:dyDescent="0.2">
      <c r="A74" s="4">
        <v>73</v>
      </c>
      <c r="B74" s="4" t="s">
        <v>157</v>
      </c>
      <c r="C74" s="4" t="s">
        <v>75</v>
      </c>
      <c r="D74" s="4" t="s">
        <v>27</v>
      </c>
      <c r="E74" s="5" t="s">
        <v>3</v>
      </c>
    </row>
    <row r="75" spans="1:5" x14ac:dyDescent="0.2">
      <c r="A75" s="4">
        <v>74</v>
      </c>
      <c r="B75" s="4" t="s">
        <v>158</v>
      </c>
      <c r="C75" s="4" t="s">
        <v>29</v>
      </c>
      <c r="D75" s="4" t="s">
        <v>27</v>
      </c>
      <c r="E75" s="5" t="s">
        <v>3</v>
      </c>
    </row>
    <row r="76" spans="1:5" x14ac:dyDescent="0.2">
      <c r="A76" s="4">
        <v>75</v>
      </c>
      <c r="B76" s="4" t="s">
        <v>159</v>
      </c>
      <c r="C76" s="4" t="s">
        <v>160</v>
      </c>
      <c r="D76" s="4" t="s">
        <v>27</v>
      </c>
      <c r="E76" s="5" t="s">
        <v>3</v>
      </c>
    </row>
    <row r="77" spans="1:5" x14ac:dyDescent="0.2">
      <c r="A77" s="4">
        <v>76</v>
      </c>
      <c r="B77" s="4" t="s">
        <v>161</v>
      </c>
      <c r="C77" s="4" t="s">
        <v>102</v>
      </c>
      <c r="D77" s="4" t="s">
        <v>32</v>
      </c>
      <c r="E77" s="5" t="s">
        <v>3</v>
      </c>
    </row>
    <row r="78" spans="1:5" x14ac:dyDescent="0.2">
      <c r="A78" s="4">
        <v>77</v>
      </c>
      <c r="B78" s="4" t="s">
        <v>162</v>
      </c>
      <c r="C78" s="4" t="s">
        <v>152</v>
      </c>
      <c r="D78" s="4" t="s">
        <v>32</v>
      </c>
      <c r="E78" s="5" t="s">
        <v>3</v>
      </c>
    </row>
    <row r="79" spans="1:5" x14ac:dyDescent="0.2">
      <c r="A79" s="4">
        <v>78</v>
      </c>
      <c r="B79" s="4" t="s">
        <v>163</v>
      </c>
      <c r="C79" s="4" t="s">
        <v>48</v>
      </c>
      <c r="D79" s="4" t="s">
        <v>32</v>
      </c>
      <c r="E79" s="5" t="s">
        <v>3</v>
      </c>
    </row>
    <row r="80" spans="1:5" x14ac:dyDescent="0.2">
      <c r="A80" s="4">
        <v>79</v>
      </c>
      <c r="B80" s="4" t="s">
        <v>164</v>
      </c>
      <c r="C80" s="4" t="s">
        <v>165</v>
      </c>
      <c r="D80" s="4" t="s">
        <v>49</v>
      </c>
      <c r="E80" s="5" t="s">
        <v>3</v>
      </c>
    </row>
    <row r="81" spans="1:5" x14ac:dyDescent="0.2">
      <c r="A81" s="4">
        <v>80</v>
      </c>
      <c r="B81" s="4" t="s">
        <v>166</v>
      </c>
      <c r="C81" s="4" t="s">
        <v>70</v>
      </c>
      <c r="D81" s="4" t="s">
        <v>27</v>
      </c>
      <c r="E81" s="5" t="s">
        <v>3</v>
      </c>
    </row>
    <row r="82" spans="1:5" x14ac:dyDescent="0.2">
      <c r="A82" s="4">
        <v>81</v>
      </c>
      <c r="B82" s="4" t="s">
        <v>167</v>
      </c>
      <c r="C82" s="4" t="s">
        <v>10</v>
      </c>
      <c r="D82" s="4" t="s">
        <v>27</v>
      </c>
      <c r="E82" s="5" t="s">
        <v>3</v>
      </c>
    </row>
    <row r="83" spans="1:5" x14ac:dyDescent="0.2">
      <c r="A83" s="4">
        <v>82</v>
      </c>
      <c r="B83" s="4" t="s">
        <v>168</v>
      </c>
      <c r="C83" s="4" t="s">
        <v>169</v>
      </c>
      <c r="D83" s="4" t="s">
        <v>27</v>
      </c>
      <c r="E83" s="5" t="s">
        <v>3</v>
      </c>
    </row>
    <row r="84" spans="1:5" x14ac:dyDescent="0.2">
      <c r="A84" s="4">
        <v>83</v>
      </c>
      <c r="B84" s="4" t="s">
        <v>170</v>
      </c>
      <c r="C84" s="4" t="s">
        <v>133</v>
      </c>
      <c r="D84" s="4" t="s">
        <v>49</v>
      </c>
      <c r="E84" s="5" t="s">
        <v>3</v>
      </c>
    </row>
    <row r="85" spans="1:5" x14ac:dyDescent="0.2">
      <c r="A85" s="4">
        <v>84</v>
      </c>
      <c r="B85" s="4" t="s">
        <v>171</v>
      </c>
      <c r="C85" s="4" t="s">
        <v>172</v>
      </c>
      <c r="D85" s="4" t="s">
        <v>27</v>
      </c>
      <c r="E85" s="5" t="s">
        <v>3</v>
      </c>
    </row>
    <row r="86" spans="1:5" x14ac:dyDescent="0.2">
      <c r="A86" s="4">
        <v>85</v>
      </c>
      <c r="B86" s="4" t="s">
        <v>173</v>
      </c>
      <c r="C86" s="4" t="s">
        <v>131</v>
      </c>
      <c r="D86" s="4" t="s">
        <v>27</v>
      </c>
      <c r="E86" s="5" t="s">
        <v>3</v>
      </c>
    </row>
    <row r="87" spans="1:5" x14ac:dyDescent="0.2">
      <c r="A87" s="4">
        <v>86</v>
      </c>
      <c r="B87" s="4" t="s">
        <v>174</v>
      </c>
      <c r="C87" s="4" t="s">
        <v>136</v>
      </c>
      <c r="D87" s="4" t="s">
        <v>27</v>
      </c>
      <c r="E87" s="5" t="s">
        <v>3</v>
      </c>
    </row>
    <row r="88" spans="1:5" x14ac:dyDescent="0.2">
      <c r="A88" s="4">
        <v>87</v>
      </c>
      <c r="B88" s="4" t="s">
        <v>175</v>
      </c>
      <c r="C88" s="4" t="s">
        <v>136</v>
      </c>
      <c r="D88" s="4" t="s">
        <v>32</v>
      </c>
      <c r="E88" s="5" t="s">
        <v>3</v>
      </c>
    </row>
    <row r="89" spans="1:5" x14ac:dyDescent="0.2">
      <c r="A89" s="4">
        <v>88</v>
      </c>
      <c r="B89" s="4" t="s">
        <v>176</v>
      </c>
      <c r="C89" s="4" t="s">
        <v>46</v>
      </c>
      <c r="D89" s="4" t="s">
        <v>9</v>
      </c>
      <c r="E89" s="5" t="s">
        <v>3</v>
      </c>
    </row>
    <row r="90" spans="1:5" x14ac:dyDescent="0.2">
      <c r="A90" s="4">
        <v>89</v>
      </c>
      <c r="B90" s="4" t="s">
        <v>177</v>
      </c>
      <c r="C90" s="4" t="s">
        <v>121</v>
      </c>
      <c r="D90" s="4" t="s">
        <v>9</v>
      </c>
      <c r="E90" s="5" t="s">
        <v>3</v>
      </c>
    </row>
    <row r="91" spans="1:5" x14ac:dyDescent="0.2">
      <c r="A91" s="4">
        <v>90</v>
      </c>
      <c r="B91" s="4" t="s">
        <v>178</v>
      </c>
      <c r="C91" s="4" t="s">
        <v>179</v>
      </c>
      <c r="D91" s="4" t="s">
        <v>9</v>
      </c>
      <c r="E91" s="5" t="s">
        <v>3</v>
      </c>
    </row>
    <row r="92" spans="1:5" x14ac:dyDescent="0.2">
      <c r="A92" s="4">
        <v>91</v>
      </c>
      <c r="B92" s="4" t="s">
        <v>180</v>
      </c>
      <c r="C92" s="4" t="s">
        <v>181</v>
      </c>
      <c r="D92" s="4" t="s">
        <v>9</v>
      </c>
      <c r="E92" s="5" t="s">
        <v>3</v>
      </c>
    </row>
    <row r="93" spans="1:5" x14ac:dyDescent="0.2">
      <c r="A93" s="4">
        <v>92</v>
      </c>
      <c r="B93" s="4" t="s">
        <v>182</v>
      </c>
      <c r="C93" s="4" t="s">
        <v>121</v>
      </c>
      <c r="D93" s="4" t="s">
        <v>9</v>
      </c>
      <c r="E93" s="5" t="s">
        <v>3</v>
      </c>
    </row>
    <row r="94" spans="1:5" x14ac:dyDescent="0.2">
      <c r="A94" s="4">
        <v>93</v>
      </c>
      <c r="B94" s="4" t="s">
        <v>183</v>
      </c>
      <c r="C94" s="4" t="s">
        <v>184</v>
      </c>
      <c r="D94" s="4" t="s">
        <v>9</v>
      </c>
      <c r="E94" s="5" t="s">
        <v>3</v>
      </c>
    </row>
    <row r="95" spans="1:5" x14ac:dyDescent="0.2">
      <c r="A95" s="4">
        <v>94</v>
      </c>
      <c r="B95" s="4" t="s">
        <v>185</v>
      </c>
      <c r="C95" s="4" t="s">
        <v>46</v>
      </c>
      <c r="D95" s="4" t="s">
        <v>9</v>
      </c>
      <c r="E95" s="5" t="s">
        <v>3</v>
      </c>
    </row>
    <row r="96" spans="1:5" x14ac:dyDescent="0.2">
      <c r="A96" s="4">
        <v>95</v>
      </c>
      <c r="B96" s="4" t="s">
        <v>186</v>
      </c>
      <c r="C96" s="4" t="s">
        <v>187</v>
      </c>
      <c r="D96" s="4" t="s">
        <v>9</v>
      </c>
      <c r="E96" s="5" t="s">
        <v>3</v>
      </c>
    </row>
    <row r="97" spans="1:5" x14ac:dyDescent="0.2">
      <c r="A97" s="4">
        <v>96</v>
      </c>
      <c r="B97" s="4" t="s">
        <v>188</v>
      </c>
      <c r="C97" s="4" t="s">
        <v>58</v>
      </c>
      <c r="D97" s="4" t="s">
        <v>9</v>
      </c>
      <c r="E97" s="5" t="s">
        <v>3</v>
      </c>
    </row>
    <row r="98" spans="1:5" x14ac:dyDescent="0.2">
      <c r="A98" s="4">
        <v>97</v>
      </c>
      <c r="B98" s="4" t="s">
        <v>189</v>
      </c>
      <c r="C98" s="4" t="s">
        <v>121</v>
      </c>
      <c r="D98" s="4" t="s">
        <v>9</v>
      </c>
      <c r="E98" s="5" t="s">
        <v>3</v>
      </c>
    </row>
    <row r="99" spans="1:5" x14ac:dyDescent="0.2">
      <c r="A99" s="4">
        <v>98</v>
      </c>
      <c r="B99" s="4" t="s">
        <v>190</v>
      </c>
      <c r="C99" s="4" t="s">
        <v>191</v>
      </c>
      <c r="D99" s="4" t="s">
        <v>9</v>
      </c>
      <c r="E99" s="5" t="s">
        <v>3</v>
      </c>
    </row>
    <row r="100" spans="1:5" x14ac:dyDescent="0.2">
      <c r="A100" s="4">
        <v>99</v>
      </c>
      <c r="B100" s="4" t="s">
        <v>192</v>
      </c>
      <c r="C100" s="4" t="s">
        <v>121</v>
      </c>
      <c r="D100" s="4" t="s">
        <v>9</v>
      </c>
      <c r="E100" s="5" t="s">
        <v>3</v>
      </c>
    </row>
    <row r="101" spans="1:5" x14ac:dyDescent="0.2">
      <c r="A101" s="4">
        <v>100</v>
      </c>
      <c r="B101" s="4" t="s">
        <v>193</v>
      </c>
      <c r="C101" s="4" t="s">
        <v>194</v>
      </c>
      <c r="D101" s="4" t="s">
        <v>9</v>
      </c>
      <c r="E101" s="5" t="s">
        <v>3</v>
      </c>
    </row>
    <row r="102" spans="1:5" x14ac:dyDescent="0.2">
      <c r="A102" s="4">
        <v>101</v>
      </c>
      <c r="B102" s="4" t="s">
        <v>195</v>
      </c>
      <c r="C102" s="4" t="s">
        <v>95</v>
      </c>
      <c r="D102" s="4" t="s">
        <v>9</v>
      </c>
      <c r="E102" s="5" t="s">
        <v>3</v>
      </c>
    </row>
    <row r="103" spans="1:5" x14ac:dyDescent="0.2">
      <c r="A103" s="4">
        <v>102</v>
      </c>
      <c r="B103" s="4" t="s">
        <v>196</v>
      </c>
      <c r="C103" s="4" t="s">
        <v>197</v>
      </c>
      <c r="D103" s="4" t="s">
        <v>9</v>
      </c>
      <c r="E103" s="5" t="s">
        <v>3</v>
      </c>
    </row>
    <row r="104" spans="1:5" x14ac:dyDescent="0.2">
      <c r="A104" s="4">
        <v>103</v>
      </c>
      <c r="B104" s="4" t="s">
        <v>198</v>
      </c>
      <c r="C104" s="4" t="s">
        <v>58</v>
      </c>
      <c r="D104" s="4" t="s">
        <v>9</v>
      </c>
      <c r="E104" s="5" t="s">
        <v>3</v>
      </c>
    </row>
    <row r="105" spans="1:5" x14ac:dyDescent="0.2">
      <c r="A105" s="4">
        <v>104</v>
      </c>
      <c r="B105" s="4" t="s">
        <v>199</v>
      </c>
      <c r="C105" s="4" t="s">
        <v>121</v>
      </c>
      <c r="D105" s="4" t="s">
        <v>9</v>
      </c>
      <c r="E105" s="5" t="s">
        <v>3</v>
      </c>
    </row>
    <row r="106" spans="1:5" x14ac:dyDescent="0.2">
      <c r="A106" s="4">
        <v>105</v>
      </c>
      <c r="B106" s="4" t="s">
        <v>200</v>
      </c>
      <c r="C106" s="4" t="s">
        <v>121</v>
      </c>
      <c r="D106" s="4" t="s">
        <v>9</v>
      </c>
      <c r="E106" s="5" t="s">
        <v>3</v>
      </c>
    </row>
    <row r="107" spans="1:5" x14ac:dyDescent="0.2">
      <c r="A107" s="4">
        <v>106</v>
      </c>
      <c r="B107" s="4" t="s">
        <v>201</v>
      </c>
      <c r="C107" s="4" t="s">
        <v>121</v>
      </c>
      <c r="D107" s="4" t="s">
        <v>9</v>
      </c>
      <c r="E107" s="5" t="s">
        <v>3</v>
      </c>
    </row>
    <row r="108" spans="1:5" x14ac:dyDescent="0.2">
      <c r="A108" s="4">
        <v>107</v>
      </c>
      <c r="B108" s="4" t="s">
        <v>202</v>
      </c>
      <c r="C108" s="4" t="s">
        <v>58</v>
      </c>
      <c r="D108" s="4" t="s">
        <v>9</v>
      </c>
      <c r="E108" s="5" t="s">
        <v>3</v>
      </c>
    </row>
    <row r="109" spans="1:5" x14ac:dyDescent="0.2">
      <c r="A109" s="4">
        <v>108</v>
      </c>
      <c r="B109" s="4" t="s">
        <v>203</v>
      </c>
      <c r="C109" s="4" t="s">
        <v>204</v>
      </c>
      <c r="D109" s="4" t="s">
        <v>205</v>
      </c>
      <c r="E109" s="5" t="s">
        <v>3</v>
      </c>
    </row>
    <row r="110" spans="1:5" x14ac:dyDescent="0.2">
      <c r="A110" s="4">
        <v>109</v>
      </c>
      <c r="B110" s="4" t="s">
        <v>206</v>
      </c>
      <c r="C110" s="4" t="s">
        <v>207</v>
      </c>
      <c r="D110" s="4" t="s">
        <v>27</v>
      </c>
      <c r="E110" s="5" t="s">
        <v>3</v>
      </c>
    </row>
    <row r="111" spans="1:5" x14ac:dyDescent="0.2">
      <c r="A111" s="4">
        <v>110</v>
      </c>
      <c r="B111" s="4" t="s">
        <v>208</v>
      </c>
      <c r="C111" s="4" t="s">
        <v>40</v>
      </c>
      <c r="D111" s="4" t="s">
        <v>27</v>
      </c>
      <c r="E111" s="5" t="s">
        <v>3</v>
      </c>
    </row>
    <row r="112" spans="1:5" x14ac:dyDescent="0.2">
      <c r="A112" s="4">
        <v>111</v>
      </c>
      <c r="B112" s="4" t="s">
        <v>209</v>
      </c>
      <c r="C112" s="4" t="s">
        <v>152</v>
      </c>
      <c r="D112" s="4" t="s">
        <v>27</v>
      </c>
      <c r="E112" s="5" t="s">
        <v>3</v>
      </c>
    </row>
    <row r="113" spans="1:5" x14ac:dyDescent="0.2">
      <c r="A113" s="4">
        <v>112</v>
      </c>
      <c r="B113" s="4" t="s">
        <v>210</v>
      </c>
      <c r="C113" s="4" t="s">
        <v>154</v>
      </c>
      <c r="D113" s="4" t="s">
        <v>52</v>
      </c>
      <c r="E113" s="6" t="s">
        <v>4</v>
      </c>
    </row>
    <row r="114" spans="1:5" x14ac:dyDescent="0.2">
      <c r="A114" s="4">
        <v>113</v>
      </c>
      <c r="B114" s="4" t="s">
        <v>211</v>
      </c>
      <c r="C114" s="4" t="s">
        <v>90</v>
      </c>
      <c r="D114" s="4" t="s">
        <v>27</v>
      </c>
      <c r="E114" s="6" t="s">
        <v>4</v>
      </c>
    </row>
    <row r="115" spans="1:5" x14ac:dyDescent="0.2">
      <c r="A115" s="4">
        <v>114</v>
      </c>
      <c r="B115" s="4" t="s">
        <v>212</v>
      </c>
      <c r="C115" s="4" t="s">
        <v>31</v>
      </c>
      <c r="D115" s="4" t="s">
        <v>27</v>
      </c>
      <c r="E115" s="6" t="s">
        <v>4</v>
      </c>
    </row>
    <row r="116" spans="1:5" x14ac:dyDescent="0.2">
      <c r="A116" s="4">
        <v>115</v>
      </c>
      <c r="B116" s="4" t="s">
        <v>213</v>
      </c>
      <c r="C116" s="4" t="s">
        <v>43</v>
      </c>
      <c r="D116" s="4" t="s">
        <v>27</v>
      </c>
      <c r="E116" s="6" t="s">
        <v>4</v>
      </c>
    </row>
    <row r="117" spans="1:5" x14ac:dyDescent="0.2">
      <c r="A117" s="4">
        <v>116</v>
      </c>
      <c r="B117" s="4" t="s">
        <v>214</v>
      </c>
      <c r="C117" s="4" t="s">
        <v>215</v>
      </c>
      <c r="D117" s="4" t="s">
        <v>49</v>
      </c>
      <c r="E117" s="6" t="s">
        <v>4</v>
      </c>
    </row>
    <row r="118" spans="1:5" x14ac:dyDescent="0.2">
      <c r="A118" s="4">
        <v>117</v>
      </c>
      <c r="B118" s="4" t="s">
        <v>216</v>
      </c>
      <c r="C118" s="4" t="s">
        <v>150</v>
      </c>
      <c r="D118" s="4" t="s">
        <v>27</v>
      </c>
      <c r="E118" s="6" t="s">
        <v>4</v>
      </c>
    </row>
    <row r="119" spans="1:5" x14ac:dyDescent="0.2">
      <c r="A119" s="4">
        <v>118</v>
      </c>
      <c r="B119" s="4" t="s">
        <v>217</v>
      </c>
      <c r="C119" s="4" t="s">
        <v>218</v>
      </c>
      <c r="D119" s="4" t="s">
        <v>27</v>
      </c>
      <c r="E119" s="6" t="s">
        <v>4</v>
      </c>
    </row>
    <row r="120" spans="1:5" x14ac:dyDescent="0.2">
      <c r="A120" s="4">
        <v>119</v>
      </c>
      <c r="B120" s="4" t="s">
        <v>219</v>
      </c>
      <c r="C120" s="4" t="s">
        <v>220</v>
      </c>
      <c r="D120" s="4" t="s">
        <v>32</v>
      </c>
      <c r="E120" s="6" t="s">
        <v>4</v>
      </c>
    </row>
    <row r="121" spans="1:5" x14ac:dyDescent="0.2">
      <c r="A121" s="4">
        <v>120</v>
      </c>
      <c r="B121" s="4" t="s">
        <v>221</v>
      </c>
      <c r="C121" s="4" t="s">
        <v>51</v>
      </c>
      <c r="D121" s="4" t="s">
        <v>27</v>
      </c>
      <c r="E121" s="6" t="s">
        <v>4</v>
      </c>
    </row>
    <row r="122" spans="1:5" x14ac:dyDescent="0.2">
      <c r="A122" s="4">
        <v>121</v>
      </c>
      <c r="B122" s="4" t="s">
        <v>222</v>
      </c>
      <c r="C122" s="4" t="s">
        <v>223</v>
      </c>
      <c r="D122" s="4" t="s">
        <v>27</v>
      </c>
      <c r="E122" s="6" t="s">
        <v>4</v>
      </c>
    </row>
    <row r="123" spans="1:5" x14ac:dyDescent="0.2">
      <c r="A123" s="4">
        <v>122</v>
      </c>
      <c r="B123" s="4" t="s">
        <v>224</v>
      </c>
      <c r="C123" s="4" t="s">
        <v>95</v>
      </c>
      <c r="D123" s="4" t="s">
        <v>32</v>
      </c>
      <c r="E123" s="6" t="s">
        <v>4</v>
      </c>
    </row>
    <row r="124" spans="1:5" x14ac:dyDescent="0.2">
      <c r="A124" s="4">
        <v>123</v>
      </c>
      <c r="B124" s="4" t="s">
        <v>225</v>
      </c>
      <c r="C124" s="4" t="s">
        <v>226</v>
      </c>
      <c r="D124" s="4" t="s">
        <v>32</v>
      </c>
      <c r="E124" s="6" t="s">
        <v>4</v>
      </c>
    </row>
    <row r="125" spans="1:5" x14ac:dyDescent="0.2">
      <c r="A125" s="4">
        <v>124</v>
      </c>
      <c r="B125" s="4" t="s">
        <v>227</v>
      </c>
      <c r="C125" s="4" t="s">
        <v>194</v>
      </c>
      <c r="D125" s="4" t="s">
        <v>49</v>
      </c>
      <c r="E125" s="6" t="s">
        <v>4</v>
      </c>
    </row>
    <row r="126" spans="1:5" x14ac:dyDescent="0.2">
      <c r="A126" s="4">
        <v>125</v>
      </c>
      <c r="B126" s="4" t="s">
        <v>228</v>
      </c>
      <c r="C126" s="4" t="s">
        <v>126</v>
      </c>
      <c r="D126" s="4" t="s">
        <v>27</v>
      </c>
      <c r="E126" s="6" t="s">
        <v>4</v>
      </c>
    </row>
    <row r="127" spans="1:5" x14ac:dyDescent="0.2">
      <c r="A127" s="4">
        <v>126</v>
      </c>
      <c r="B127" s="4" t="s">
        <v>229</v>
      </c>
      <c r="C127" s="4" t="s">
        <v>133</v>
      </c>
      <c r="D127" s="4" t="s">
        <v>32</v>
      </c>
      <c r="E127" s="6" t="s">
        <v>4</v>
      </c>
    </row>
    <row r="128" spans="1:5" x14ac:dyDescent="0.2">
      <c r="A128" s="4">
        <v>127</v>
      </c>
      <c r="B128" s="4" t="s">
        <v>230</v>
      </c>
      <c r="C128" s="4" t="s">
        <v>231</v>
      </c>
      <c r="D128" s="4" t="s">
        <v>52</v>
      </c>
      <c r="E128" s="6" t="s">
        <v>4</v>
      </c>
    </row>
    <row r="129" spans="1:5" x14ac:dyDescent="0.2">
      <c r="A129" s="4">
        <v>128</v>
      </c>
      <c r="B129" s="4" t="s">
        <v>232</v>
      </c>
      <c r="C129" s="4" t="s">
        <v>233</v>
      </c>
      <c r="D129" s="4" t="s">
        <v>27</v>
      </c>
      <c r="E129" s="6" t="s">
        <v>4</v>
      </c>
    </row>
    <row r="130" spans="1:5" x14ac:dyDescent="0.2">
      <c r="A130" s="4">
        <v>129</v>
      </c>
      <c r="B130" s="4" t="s">
        <v>234</v>
      </c>
      <c r="C130" s="4" t="s">
        <v>231</v>
      </c>
      <c r="D130" s="4" t="s">
        <v>52</v>
      </c>
      <c r="E130" s="6" t="s">
        <v>4</v>
      </c>
    </row>
    <row r="131" spans="1:5" x14ac:dyDescent="0.2">
      <c r="A131" s="4">
        <v>130</v>
      </c>
      <c r="B131" s="4" t="s">
        <v>235</v>
      </c>
      <c r="C131" s="4" t="s">
        <v>68</v>
      </c>
      <c r="D131" s="4" t="s">
        <v>27</v>
      </c>
      <c r="E131" s="6" t="s">
        <v>4</v>
      </c>
    </row>
    <row r="132" spans="1:5" x14ac:dyDescent="0.2">
      <c r="A132" s="4">
        <v>131</v>
      </c>
      <c r="B132" s="4" t="s">
        <v>236</v>
      </c>
      <c r="C132" s="4" t="s">
        <v>64</v>
      </c>
      <c r="D132" s="4" t="s">
        <v>32</v>
      </c>
      <c r="E132" s="6" t="s">
        <v>4</v>
      </c>
    </row>
    <row r="133" spans="1:5" x14ac:dyDescent="0.2">
      <c r="A133" s="4">
        <v>132</v>
      </c>
      <c r="B133" s="4" t="s">
        <v>237</v>
      </c>
      <c r="C133" s="4" t="s">
        <v>54</v>
      </c>
      <c r="D133" s="4" t="s">
        <v>32</v>
      </c>
      <c r="E133" s="6" t="s">
        <v>4</v>
      </c>
    </row>
    <row r="134" spans="1:5" x14ac:dyDescent="0.2">
      <c r="A134" s="4">
        <v>133</v>
      </c>
      <c r="B134" s="4" t="s">
        <v>238</v>
      </c>
      <c r="C134" s="4" t="s">
        <v>154</v>
      </c>
      <c r="D134" s="4" t="s">
        <v>32</v>
      </c>
      <c r="E134" s="6" t="s">
        <v>4</v>
      </c>
    </row>
    <row r="135" spans="1:5" x14ac:dyDescent="0.2">
      <c r="A135" s="4">
        <v>134</v>
      </c>
      <c r="B135" s="4" t="s">
        <v>239</v>
      </c>
      <c r="C135" s="4" t="s">
        <v>156</v>
      </c>
      <c r="D135" s="4" t="s">
        <v>32</v>
      </c>
      <c r="E135" s="6" t="s">
        <v>4</v>
      </c>
    </row>
    <row r="136" spans="1:5" x14ac:dyDescent="0.2">
      <c r="A136" s="4">
        <v>135</v>
      </c>
      <c r="B136" s="4" t="s">
        <v>240</v>
      </c>
      <c r="C136" s="4" t="s">
        <v>51</v>
      </c>
      <c r="D136" s="4" t="s">
        <v>27</v>
      </c>
      <c r="E136" s="6" t="s">
        <v>4</v>
      </c>
    </row>
    <row r="137" spans="1:5" x14ac:dyDescent="0.2">
      <c r="A137" s="4">
        <v>136</v>
      </c>
      <c r="B137" s="4" t="s">
        <v>241</v>
      </c>
      <c r="C137" s="4" t="s">
        <v>95</v>
      </c>
      <c r="D137" s="4" t="s">
        <v>27</v>
      </c>
      <c r="E137" s="6" t="s">
        <v>4</v>
      </c>
    </row>
    <row r="138" spans="1:5" x14ac:dyDescent="0.2">
      <c r="A138" s="4">
        <v>137</v>
      </c>
      <c r="B138" s="4" t="s">
        <v>242</v>
      </c>
      <c r="C138" s="4" t="s">
        <v>58</v>
      </c>
      <c r="D138" s="4" t="s">
        <v>27</v>
      </c>
      <c r="E138" s="6" t="s">
        <v>4</v>
      </c>
    </row>
    <row r="139" spans="1:5" x14ac:dyDescent="0.2">
      <c r="A139" s="4">
        <v>138</v>
      </c>
      <c r="B139" s="4" t="s">
        <v>243</v>
      </c>
      <c r="C139" s="4" t="s">
        <v>220</v>
      </c>
      <c r="D139" s="4" t="s">
        <v>27</v>
      </c>
      <c r="E139" s="6" t="s">
        <v>4</v>
      </c>
    </row>
    <row r="140" spans="1:5" x14ac:dyDescent="0.2">
      <c r="A140" s="4">
        <v>139</v>
      </c>
      <c r="B140" s="4" t="s">
        <v>244</v>
      </c>
      <c r="C140" s="4" t="s">
        <v>43</v>
      </c>
      <c r="D140" s="4" t="s">
        <v>32</v>
      </c>
      <c r="E140" s="6" t="s">
        <v>4</v>
      </c>
    </row>
    <row r="141" spans="1:5" x14ac:dyDescent="0.2">
      <c r="A141" s="4">
        <v>140</v>
      </c>
      <c r="B141" s="4" t="s">
        <v>245</v>
      </c>
      <c r="C141" s="4" t="s">
        <v>187</v>
      </c>
      <c r="D141" s="4" t="s">
        <v>27</v>
      </c>
      <c r="E141" s="6" t="s">
        <v>4</v>
      </c>
    </row>
    <row r="142" spans="1:5" x14ac:dyDescent="0.2">
      <c r="A142" s="4">
        <v>141</v>
      </c>
      <c r="B142" s="4" t="s">
        <v>246</v>
      </c>
      <c r="C142" s="4" t="s">
        <v>107</v>
      </c>
      <c r="D142" s="4" t="s">
        <v>27</v>
      </c>
      <c r="E142" s="6" t="s">
        <v>4</v>
      </c>
    </row>
    <row r="143" spans="1:5" x14ac:dyDescent="0.2">
      <c r="A143" s="4">
        <v>142</v>
      </c>
      <c r="B143" s="4" t="s">
        <v>247</v>
      </c>
      <c r="C143" s="4" t="s">
        <v>169</v>
      </c>
      <c r="D143" s="4" t="s">
        <v>32</v>
      </c>
      <c r="E143" s="6" t="s">
        <v>4</v>
      </c>
    </row>
    <row r="144" spans="1:5" x14ac:dyDescent="0.2">
      <c r="A144" s="4">
        <v>143</v>
      </c>
      <c r="B144" s="4" t="s">
        <v>248</v>
      </c>
      <c r="C144" s="4" t="s">
        <v>249</v>
      </c>
      <c r="D144" s="4" t="s">
        <v>27</v>
      </c>
      <c r="E144" s="6" t="s">
        <v>4</v>
      </c>
    </row>
    <row r="145" spans="1:5" x14ac:dyDescent="0.2">
      <c r="A145" s="4">
        <v>144</v>
      </c>
      <c r="B145" s="4" t="s">
        <v>250</v>
      </c>
      <c r="C145" s="4" t="s">
        <v>92</v>
      </c>
      <c r="D145" s="4" t="s">
        <v>27</v>
      </c>
      <c r="E145" s="6" t="s">
        <v>4</v>
      </c>
    </row>
    <row r="146" spans="1:5" x14ac:dyDescent="0.2">
      <c r="A146" s="4">
        <v>145</v>
      </c>
      <c r="B146" s="4" t="s">
        <v>251</v>
      </c>
      <c r="C146" s="4" t="s">
        <v>207</v>
      </c>
      <c r="D146" s="4" t="s">
        <v>32</v>
      </c>
      <c r="E146" s="6" t="s">
        <v>4</v>
      </c>
    </row>
    <row r="147" spans="1:5" x14ac:dyDescent="0.2">
      <c r="A147" s="4">
        <v>146</v>
      </c>
      <c r="B147" s="4" t="s">
        <v>252</v>
      </c>
      <c r="C147" s="4" t="s">
        <v>36</v>
      </c>
      <c r="D147" s="4" t="s">
        <v>32</v>
      </c>
      <c r="E147" s="6" t="s">
        <v>4</v>
      </c>
    </row>
    <row r="148" spans="1:5" x14ac:dyDescent="0.2">
      <c r="A148" s="4">
        <v>147</v>
      </c>
      <c r="B148" s="4" t="s">
        <v>253</v>
      </c>
      <c r="C148" s="4" t="s">
        <v>254</v>
      </c>
      <c r="D148" s="4" t="s">
        <v>32</v>
      </c>
      <c r="E148" s="6" t="s">
        <v>4</v>
      </c>
    </row>
    <row r="149" spans="1:5" x14ac:dyDescent="0.2">
      <c r="A149" s="4">
        <v>148</v>
      </c>
      <c r="B149" s="4" t="s">
        <v>255</v>
      </c>
      <c r="C149" s="4" t="s">
        <v>160</v>
      </c>
      <c r="D149" s="4" t="s">
        <v>27</v>
      </c>
      <c r="E149" s="6" t="s">
        <v>4</v>
      </c>
    </row>
    <row r="150" spans="1:5" x14ac:dyDescent="0.2">
      <c r="A150" s="4">
        <v>149</v>
      </c>
      <c r="B150" s="4" t="s">
        <v>256</v>
      </c>
      <c r="C150" s="4" t="s">
        <v>257</v>
      </c>
      <c r="D150" s="4" t="s">
        <v>27</v>
      </c>
      <c r="E150" s="6" t="s">
        <v>4</v>
      </c>
    </row>
    <row r="151" spans="1:5" x14ac:dyDescent="0.2">
      <c r="A151" s="4">
        <v>150</v>
      </c>
      <c r="B151" s="4" t="s">
        <v>258</v>
      </c>
      <c r="C151" s="4" t="s">
        <v>259</v>
      </c>
      <c r="D151" s="4" t="s">
        <v>27</v>
      </c>
      <c r="E151" s="6" t="s">
        <v>4</v>
      </c>
    </row>
    <row r="152" spans="1:5" x14ac:dyDescent="0.2">
      <c r="A152" s="4">
        <v>151</v>
      </c>
      <c r="B152" s="4" t="s">
        <v>260</v>
      </c>
      <c r="C152" s="4" t="s">
        <v>26</v>
      </c>
      <c r="D152" s="4" t="s">
        <v>27</v>
      </c>
      <c r="E152" s="6" t="s">
        <v>4</v>
      </c>
    </row>
    <row r="153" spans="1:5" x14ac:dyDescent="0.2">
      <c r="A153" s="4">
        <v>152</v>
      </c>
      <c r="B153" s="4" t="s">
        <v>261</v>
      </c>
      <c r="C153" s="4" t="s">
        <v>100</v>
      </c>
      <c r="D153" s="4" t="s">
        <v>32</v>
      </c>
      <c r="E153" s="6" t="s">
        <v>4</v>
      </c>
    </row>
    <row r="154" spans="1:5" x14ac:dyDescent="0.2">
      <c r="A154" s="4">
        <v>153</v>
      </c>
      <c r="B154" s="4" t="s">
        <v>262</v>
      </c>
      <c r="C154" s="4" t="s">
        <v>56</v>
      </c>
      <c r="D154" s="4" t="s">
        <v>27</v>
      </c>
      <c r="E154" s="6" t="s">
        <v>4</v>
      </c>
    </row>
    <row r="155" spans="1:5" x14ac:dyDescent="0.2">
      <c r="A155" s="4">
        <v>154</v>
      </c>
      <c r="B155" s="4" t="s">
        <v>263</v>
      </c>
      <c r="C155" s="4" t="s">
        <v>264</v>
      </c>
      <c r="D155" s="4" t="s">
        <v>27</v>
      </c>
      <c r="E155" s="6" t="s">
        <v>4</v>
      </c>
    </row>
    <row r="156" spans="1:5" x14ac:dyDescent="0.2">
      <c r="A156" s="4">
        <v>155</v>
      </c>
      <c r="B156" s="4" t="s">
        <v>265</v>
      </c>
      <c r="C156" s="4" t="s">
        <v>181</v>
      </c>
      <c r="D156" s="4" t="s">
        <v>32</v>
      </c>
      <c r="E156" s="6" t="s">
        <v>4</v>
      </c>
    </row>
    <row r="157" spans="1:5" x14ac:dyDescent="0.2">
      <c r="A157" s="4">
        <v>156</v>
      </c>
      <c r="B157" s="4" t="s">
        <v>266</v>
      </c>
      <c r="C157" s="4" t="s">
        <v>267</v>
      </c>
      <c r="D157" s="4" t="s">
        <v>52</v>
      </c>
      <c r="E157" s="6" t="s">
        <v>4</v>
      </c>
    </row>
    <row r="158" spans="1:5" x14ac:dyDescent="0.2">
      <c r="A158" s="4">
        <v>157</v>
      </c>
      <c r="B158" s="4" t="s">
        <v>268</v>
      </c>
      <c r="C158" s="4" t="s">
        <v>105</v>
      </c>
      <c r="D158" s="4" t="s">
        <v>27</v>
      </c>
      <c r="E158" s="6" t="s">
        <v>4</v>
      </c>
    </row>
    <row r="159" spans="1:5" x14ac:dyDescent="0.2">
      <c r="A159" s="4">
        <v>158</v>
      </c>
      <c r="B159" s="4" t="s">
        <v>269</v>
      </c>
      <c r="C159" s="4" t="s">
        <v>220</v>
      </c>
      <c r="D159" s="4" t="s">
        <v>27</v>
      </c>
      <c r="E159" s="6" t="s">
        <v>4</v>
      </c>
    </row>
    <row r="160" spans="1:5" x14ac:dyDescent="0.2">
      <c r="A160" s="4">
        <v>159</v>
      </c>
      <c r="B160" s="4" t="s">
        <v>270</v>
      </c>
      <c r="C160" s="4" t="s">
        <v>271</v>
      </c>
      <c r="D160" s="4" t="s">
        <v>27</v>
      </c>
      <c r="E160" s="6" t="s">
        <v>4</v>
      </c>
    </row>
    <row r="161" spans="1:5" x14ac:dyDescent="0.2">
      <c r="A161" s="4">
        <v>160</v>
      </c>
      <c r="B161" s="4" t="s">
        <v>272</v>
      </c>
      <c r="C161" s="4" t="s">
        <v>58</v>
      </c>
      <c r="D161" s="4" t="s">
        <v>27</v>
      </c>
      <c r="E161" s="6" t="s">
        <v>4</v>
      </c>
    </row>
    <row r="162" spans="1:5" x14ac:dyDescent="0.2">
      <c r="A162" s="4">
        <v>161</v>
      </c>
      <c r="B162" s="4" t="s">
        <v>273</v>
      </c>
      <c r="C162" s="4" t="s">
        <v>36</v>
      </c>
      <c r="D162" s="4" t="s">
        <v>27</v>
      </c>
      <c r="E162" s="6" t="s">
        <v>4</v>
      </c>
    </row>
    <row r="163" spans="1:5" x14ac:dyDescent="0.2">
      <c r="A163" s="4">
        <v>162</v>
      </c>
      <c r="B163" s="4" t="s">
        <v>274</v>
      </c>
      <c r="C163" s="4" t="s">
        <v>150</v>
      </c>
      <c r="D163" s="4" t="s">
        <v>32</v>
      </c>
      <c r="E163" s="6" t="s">
        <v>4</v>
      </c>
    </row>
    <row r="164" spans="1:5" x14ac:dyDescent="0.2">
      <c r="A164" s="4">
        <v>163</v>
      </c>
      <c r="B164" s="4" t="s">
        <v>275</v>
      </c>
      <c r="C164" s="4" t="s">
        <v>79</v>
      </c>
      <c r="D164" s="4" t="s">
        <v>27</v>
      </c>
      <c r="E164" s="6" t="s">
        <v>4</v>
      </c>
    </row>
    <row r="165" spans="1:5" x14ac:dyDescent="0.2">
      <c r="A165" s="4">
        <v>164</v>
      </c>
      <c r="B165" s="4" t="s">
        <v>276</v>
      </c>
      <c r="C165" s="4" t="s">
        <v>277</v>
      </c>
      <c r="D165" s="4" t="s">
        <v>27</v>
      </c>
      <c r="E165" s="6" t="s">
        <v>4</v>
      </c>
    </row>
    <row r="166" spans="1:5" x14ac:dyDescent="0.2">
      <c r="A166" s="4">
        <v>165</v>
      </c>
      <c r="B166" s="4" t="s">
        <v>278</v>
      </c>
      <c r="C166" s="4" t="s">
        <v>133</v>
      </c>
      <c r="D166" s="4" t="s">
        <v>27</v>
      </c>
      <c r="E166" s="6" t="s">
        <v>4</v>
      </c>
    </row>
    <row r="167" spans="1:5" x14ac:dyDescent="0.2">
      <c r="A167" s="4">
        <v>166</v>
      </c>
      <c r="B167" s="4" t="s">
        <v>279</v>
      </c>
      <c r="C167" s="4" t="s">
        <v>280</v>
      </c>
      <c r="D167" s="4" t="s">
        <v>27</v>
      </c>
      <c r="E167" s="6" t="s">
        <v>4</v>
      </c>
    </row>
    <row r="168" spans="1:5" x14ac:dyDescent="0.2">
      <c r="A168" s="4">
        <v>167</v>
      </c>
      <c r="B168" s="4" t="s">
        <v>281</v>
      </c>
      <c r="C168" s="4" t="s">
        <v>223</v>
      </c>
      <c r="D168" s="4" t="s">
        <v>27</v>
      </c>
      <c r="E168" s="6" t="s">
        <v>4</v>
      </c>
    </row>
    <row r="169" spans="1:5" x14ac:dyDescent="0.2">
      <c r="A169" s="4">
        <v>168</v>
      </c>
      <c r="B169" s="4" t="s">
        <v>282</v>
      </c>
      <c r="C169" s="4" t="s">
        <v>283</v>
      </c>
      <c r="D169" s="4" t="s">
        <v>32</v>
      </c>
      <c r="E169" s="6" t="s">
        <v>4</v>
      </c>
    </row>
    <row r="170" spans="1:5" x14ac:dyDescent="0.2">
      <c r="A170" s="4">
        <v>169</v>
      </c>
      <c r="B170" s="4" t="s">
        <v>284</v>
      </c>
      <c r="C170" s="4" t="s">
        <v>285</v>
      </c>
      <c r="D170" s="4" t="s">
        <v>27</v>
      </c>
      <c r="E170" s="6" t="s">
        <v>4</v>
      </c>
    </row>
    <row r="171" spans="1:5" x14ac:dyDescent="0.2">
      <c r="A171" s="4">
        <v>170</v>
      </c>
      <c r="B171" s="4" t="s">
        <v>286</v>
      </c>
      <c r="C171" s="4" t="s">
        <v>60</v>
      </c>
      <c r="D171" s="4" t="s">
        <v>27</v>
      </c>
      <c r="E171" s="6" t="s">
        <v>4</v>
      </c>
    </row>
    <row r="172" spans="1:5" x14ac:dyDescent="0.2">
      <c r="A172" s="4">
        <v>171</v>
      </c>
      <c r="B172" s="4" t="s">
        <v>287</v>
      </c>
      <c r="C172" s="4" t="s">
        <v>172</v>
      </c>
      <c r="D172" s="4" t="s">
        <v>32</v>
      </c>
      <c r="E172" s="6" t="s">
        <v>4</v>
      </c>
    </row>
    <row r="173" spans="1:5" x14ac:dyDescent="0.2">
      <c r="A173" s="4">
        <v>172</v>
      </c>
      <c r="B173" s="4" t="s">
        <v>288</v>
      </c>
      <c r="C173" s="4" t="s">
        <v>191</v>
      </c>
      <c r="D173" s="4" t="s">
        <v>32</v>
      </c>
      <c r="E173" s="6" t="s">
        <v>4</v>
      </c>
    </row>
    <row r="174" spans="1:5" x14ac:dyDescent="0.2">
      <c r="A174" s="4">
        <v>173</v>
      </c>
      <c r="B174" s="4" t="s">
        <v>289</v>
      </c>
      <c r="C174" s="4" t="s">
        <v>280</v>
      </c>
      <c r="D174" s="4" t="s">
        <v>32</v>
      </c>
      <c r="E174" s="6" t="s">
        <v>4</v>
      </c>
    </row>
    <row r="175" spans="1:5" x14ac:dyDescent="0.2">
      <c r="A175" s="4">
        <v>174</v>
      </c>
      <c r="B175" s="4" t="s">
        <v>290</v>
      </c>
      <c r="C175" s="4" t="s">
        <v>46</v>
      </c>
      <c r="D175" s="4" t="s">
        <v>27</v>
      </c>
      <c r="E175" s="6" t="s">
        <v>4</v>
      </c>
    </row>
    <row r="176" spans="1:5" x14ac:dyDescent="0.2">
      <c r="A176" s="4">
        <v>175</v>
      </c>
      <c r="B176" s="4" t="s">
        <v>291</v>
      </c>
      <c r="C176" s="4" t="s">
        <v>292</v>
      </c>
      <c r="D176" s="4" t="s">
        <v>32</v>
      </c>
      <c r="E176" s="6" t="s">
        <v>4</v>
      </c>
    </row>
    <row r="177" spans="1:5" x14ac:dyDescent="0.2">
      <c r="A177" s="4">
        <v>176</v>
      </c>
      <c r="B177" s="4" t="s">
        <v>293</v>
      </c>
      <c r="C177" s="4" t="s">
        <v>112</v>
      </c>
      <c r="D177" s="4" t="s">
        <v>27</v>
      </c>
      <c r="E177" s="6" t="s">
        <v>4</v>
      </c>
    </row>
    <row r="178" spans="1:5" x14ac:dyDescent="0.2">
      <c r="A178" s="4">
        <v>177</v>
      </c>
      <c r="B178" s="4" t="s">
        <v>294</v>
      </c>
      <c r="C178" s="4" t="s">
        <v>95</v>
      </c>
      <c r="D178" s="4" t="s">
        <v>27</v>
      </c>
      <c r="E178" s="6" t="s">
        <v>4</v>
      </c>
    </row>
    <row r="179" spans="1:5" x14ac:dyDescent="0.2">
      <c r="A179" s="4">
        <v>178</v>
      </c>
      <c r="B179" s="4" t="s">
        <v>295</v>
      </c>
      <c r="C179" s="4" t="s">
        <v>68</v>
      </c>
      <c r="D179" s="4" t="s">
        <v>27</v>
      </c>
      <c r="E179" s="6" t="s">
        <v>4</v>
      </c>
    </row>
    <row r="180" spans="1:5" x14ac:dyDescent="0.2">
      <c r="A180" s="4">
        <v>179</v>
      </c>
      <c r="B180" s="4" t="s">
        <v>296</v>
      </c>
      <c r="C180" s="4" t="s">
        <v>231</v>
      </c>
      <c r="D180" s="4" t="s">
        <v>27</v>
      </c>
      <c r="E180" s="6" t="s">
        <v>4</v>
      </c>
    </row>
    <row r="181" spans="1:5" x14ac:dyDescent="0.2">
      <c r="A181" s="4">
        <v>180</v>
      </c>
      <c r="B181" s="4" t="s">
        <v>297</v>
      </c>
      <c r="C181" s="4" t="s">
        <v>131</v>
      </c>
      <c r="D181" s="4" t="s">
        <v>27</v>
      </c>
      <c r="E181" s="6" t="s">
        <v>4</v>
      </c>
    </row>
    <row r="182" spans="1:5" x14ac:dyDescent="0.2">
      <c r="A182" s="4">
        <v>181</v>
      </c>
      <c r="B182" s="4" t="s">
        <v>298</v>
      </c>
      <c r="C182" s="4" t="s">
        <v>116</v>
      </c>
      <c r="D182" s="4" t="s">
        <v>27</v>
      </c>
      <c r="E182" s="6" t="s">
        <v>4</v>
      </c>
    </row>
    <row r="183" spans="1:5" x14ac:dyDescent="0.2">
      <c r="A183" s="4">
        <v>182</v>
      </c>
      <c r="B183" s="4" t="s">
        <v>299</v>
      </c>
      <c r="C183" s="4" t="s">
        <v>172</v>
      </c>
      <c r="D183" s="4" t="s">
        <v>27</v>
      </c>
      <c r="E183" s="6" t="s">
        <v>4</v>
      </c>
    </row>
    <row r="184" spans="1:5" x14ac:dyDescent="0.2">
      <c r="A184" s="4">
        <v>183</v>
      </c>
      <c r="B184" s="4" t="s">
        <v>300</v>
      </c>
      <c r="C184" s="4" t="s">
        <v>29</v>
      </c>
      <c r="D184" s="4" t="s">
        <v>27</v>
      </c>
      <c r="E184" s="6" t="s">
        <v>4</v>
      </c>
    </row>
    <row r="185" spans="1:5" x14ac:dyDescent="0.2">
      <c r="A185" s="4">
        <v>184</v>
      </c>
      <c r="B185" s="4" t="s">
        <v>301</v>
      </c>
      <c r="C185" s="4" t="s">
        <v>194</v>
      </c>
      <c r="D185" s="4" t="s">
        <v>27</v>
      </c>
      <c r="E185" s="6" t="s">
        <v>4</v>
      </c>
    </row>
    <row r="186" spans="1:5" x14ac:dyDescent="0.2">
      <c r="A186" s="4">
        <v>185</v>
      </c>
      <c r="B186" s="4" t="s">
        <v>302</v>
      </c>
      <c r="C186" s="4" t="s">
        <v>267</v>
      </c>
      <c r="D186" s="4" t="s">
        <v>27</v>
      </c>
      <c r="E186" s="6" t="s">
        <v>4</v>
      </c>
    </row>
    <row r="187" spans="1:5" x14ac:dyDescent="0.2">
      <c r="A187" s="4">
        <v>186</v>
      </c>
      <c r="B187" s="4" t="s">
        <v>303</v>
      </c>
      <c r="C187" s="4" t="s">
        <v>304</v>
      </c>
      <c r="D187" s="4" t="s">
        <v>32</v>
      </c>
      <c r="E187" s="6" t="s">
        <v>4</v>
      </c>
    </row>
    <row r="188" spans="1:5" x14ac:dyDescent="0.2">
      <c r="A188" s="4">
        <v>187</v>
      </c>
      <c r="B188" s="4" t="s">
        <v>305</v>
      </c>
      <c r="C188" s="4" t="s">
        <v>75</v>
      </c>
      <c r="D188" s="4" t="s">
        <v>27</v>
      </c>
      <c r="E188" s="6" t="s">
        <v>4</v>
      </c>
    </row>
    <row r="189" spans="1:5" x14ac:dyDescent="0.2">
      <c r="A189" s="4">
        <v>188</v>
      </c>
      <c r="B189" s="4" t="s">
        <v>306</v>
      </c>
      <c r="C189" s="4" t="s">
        <v>307</v>
      </c>
      <c r="D189" s="4" t="s">
        <v>52</v>
      </c>
      <c r="E189" s="6" t="s">
        <v>4</v>
      </c>
    </row>
    <row r="190" spans="1:5" x14ac:dyDescent="0.2">
      <c r="A190" s="4">
        <v>189</v>
      </c>
      <c r="B190" s="4" t="s">
        <v>308</v>
      </c>
      <c r="C190" s="4" t="s">
        <v>133</v>
      </c>
      <c r="D190" s="4" t="s">
        <v>27</v>
      </c>
      <c r="E190" s="6" t="s">
        <v>4</v>
      </c>
    </row>
    <row r="191" spans="1:5" x14ac:dyDescent="0.2">
      <c r="A191" s="4">
        <v>190</v>
      </c>
      <c r="B191" s="4" t="s">
        <v>309</v>
      </c>
      <c r="C191" s="4" t="s">
        <v>194</v>
      </c>
      <c r="D191" s="4" t="s">
        <v>9</v>
      </c>
      <c r="E191" s="6" t="s">
        <v>4</v>
      </c>
    </row>
    <row r="192" spans="1:5" x14ac:dyDescent="0.2">
      <c r="A192" s="4">
        <v>191</v>
      </c>
      <c r="B192" s="4" t="s">
        <v>310</v>
      </c>
      <c r="C192" s="4" t="s">
        <v>150</v>
      </c>
      <c r="D192" s="4" t="s">
        <v>9</v>
      </c>
      <c r="E192" s="6" t="s">
        <v>4</v>
      </c>
    </row>
    <row r="193" spans="1:5" x14ac:dyDescent="0.2">
      <c r="A193" s="4">
        <v>192</v>
      </c>
      <c r="B193" s="4" t="s">
        <v>311</v>
      </c>
      <c r="C193" s="4" t="s">
        <v>58</v>
      </c>
      <c r="D193" s="4" t="s">
        <v>9</v>
      </c>
      <c r="E193" s="6" t="s">
        <v>4</v>
      </c>
    </row>
    <row r="194" spans="1:5" x14ac:dyDescent="0.2">
      <c r="A194" s="4">
        <v>193</v>
      </c>
      <c r="B194" s="4" t="s">
        <v>312</v>
      </c>
      <c r="C194" s="4" t="s">
        <v>121</v>
      </c>
      <c r="D194" s="4" t="s">
        <v>9</v>
      </c>
      <c r="E194" s="6" t="s">
        <v>4</v>
      </c>
    </row>
    <row r="195" spans="1:5" x14ac:dyDescent="0.2">
      <c r="A195" s="4">
        <v>194</v>
      </c>
      <c r="B195" s="4" t="s">
        <v>313</v>
      </c>
      <c r="C195" s="4" t="s">
        <v>314</v>
      </c>
      <c r="D195" s="4" t="s">
        <v>9</v>
      </c>
      <c r="E195" s="6" t="s">
        <v>4</v>
      </c>
    </row>
    <row r="196" spans="1:5" x14ac:dyDescent="0.2">
      <c r="A196" s="4">
        <v>195</v>
      </c>
      <c r="B196" s="4" t="s">
        <v>315</v>
      </c>
      <c r="C196" s="4" t="s">
        <v>58</v>
      </c>
      <c r="D196" s="4" t="s">
        <v>9</v>
      </c>
      <c r="E196" s="6" t="s">
        <v>4</v>
      </c>
    </row>
    <row r="197" spans="1:5" x14ac:dyDescent="0.2">
      <c r="A197" s="4">
        <v>196</v>
      </c>
      <c r="B197" s="4" t="s">
        <v>316</v>
      </c>
      <c r="C197" s="4" t="s">
        <v>112</v>
      </c>
      <c r="D197" s="4" t="s">
        <v>9</v>
      </c>
      <c r="E197" s="6" t="s">
        <v>4</v>
      </c>
    </row>
    <row r="198" spans="1:5" x14ac:dyDescent="0.2">
      <c r="A198" s="4">
        <v>197</v>
      </c>
      <c r="B198" s="4" t="s">
        <v>317</v>
      </c>
      <c r="C198" s="4" t="s">
        <v>54</v>
      </c>
      <c r="D198" s="4" t="s">
        <v>9</v>
      </c>
      <c r="E198" s="6" t="s">
        <v>4</v>
      </c>
    </row>
    <row r="199" spans="1:5" x14ac:dyDescent="0.2">
      <c r="A199" s="4">
        <v>198</v>
      </c>
      <c r="B199" s="4" t="s">
        <v>318</v>
      </c>
      <c r="C199" s="4" t="s">
        <v>58</v>
      </c>
      <c r="D199" s="4" t="s">
        <v>9</v>
      </c>
      <c r="E199" s="6" t="s">
        <v>4</v>
      </c>
    </row>
    <row r="200" spans="1:5" x14ac:dyDescent="0.2">
      <c r="A200" s="4">
        <v>199</v>
      </c>
      <c r="B200" s="4" t="s">
        <v>319</v>
      </c>
      <c r="C200" s="4" t="s">
        <v>179</v>
      </c>
      <c r="D200" s="4" t="s">
        <v>9</v>
      </c>
      <c r="E200" s="6" t="s">
        <v>4</v>
      </c>
    </row>
    <row r="201" spans="1:5" x14ac:dyDescent="0.2">
      <c r="A201" s="4">
        <v>200</v>
      </c>
      <c r="B201" s="4" t="s">
        <v>320</v>
      </c>
      <c r="C201" s="4" t="s">
        <v>72</v>
      </c>
      <c r="D201" s="4" t="s">
        <v>9</v>
      </c>
      <c r="E201" s="6" t="s">
        <v>4</v>
      </c>
    </row>
    <row r="202" spans="1:5" x14ac:dyDescent="0.2">
      <c r="A202" s="4">
        <v>201</v>
      </c>
      <c r="B202" s="4" t="s">
        <v>321</v>
      </c>
      <c r="C202" s="4" t="s">
        <v>187</v>
      </c>
      <c r="D202" s="4" t="s">
        <v>9</v>
      </c>
      <c r="E202" s="6" t="s">
        <v>4</v>
      </c>
    </row>
    <row r="203" spans="1:5" x14ac:dyDescent="0.2">
      <c r="A203" s="4">
        <v>202</v>
      </c>
      <c r="B203" s="4" t="s">
        <v>322</v>
      </c>
      <c r="C203" s="4" t="s">
        <v>136</v>
      </c>
      <c r="D203" s="4" t="s">
        <v>9</v>
      </c>
      <c r="E203" s="6" t="s">
        <v>4</v>
      </c>
    </row>
    <row r="204" spans="1:5" x14ac:dyDescent="0.2">
      <c r="A204" s="4">
        <v>203</v>
      </c>
      <c r="B204" s="4" t="s">
        <v>323</v>
      </c>
      <c r="C204" s="4" t="s">
        <v>87</v>
      </c>
      <c r="D204" s="4" t="s">
        <v>9</v>
      </c>
      <c r="E204" s="6" t="s">
        <v>4</v>
      </c>
    </row>
    <row r="205" spans="1:5" x14ac:dyDescent="0.2">
      <c r="A205" s="4">
        <v>204</v>
      </c>
      <c r="B205" s="4" t="s">
        <v>324</v>
      </c>
      <c r="C205" s="4" t="s">
        <v>66</v>
      </c>
      <c r="D205" s="4" t="s">
        <v>9</v>
      </c>
      <c r="E205" s="6" t="s">
        <v>4</v>
      </c>
    </row>
    <row r="206" spans="1:5" x14ac:dyDescent="0.2">
      <c r="A206" s="4">
        <v>205</v>
      </c>
      <c r="B206" s="4" t="s">
        <v>325</v>
      </c>
      <c r="C206" s="4" t="s">
        <v>197</v>
      </c>
      <c r="D206" s="4" t="s">
        <v>9</v>
      </c>
      <c r="E206" s="6" t="s">
        <v>4</v>
      </c>
    </row>
    <row r="207" spans="1:5" x14ac:dyDescent="0.2">
      <c r="A207" s="4">
        <v>206</v>
      </c>
      <c r="B207" s="4" t="s">
        <v>326</v>
      </c>
      <c r="C207" s="4" t="s">
        <v>327</v>
      </c>
      <c r="D207" s="4" t="s">
        <v>9</v>
      </c>
      <c r="E207" s="6" t="s">
        <v>4</v>
      </c>
    </row>
    <row r="208" spans="1:5" x14ac:dyDescent="0.2">
      <c r="A208" s="4">
        <v>207</v>
      </c>
      <c r="B208" s="4" t="s">
        <v>328</v>
      </c>
      <c r="C208" s="4" t="s">
        <v>26</v>
      </c>
      <c r="D208" s="4" t="s">
        <v>9</v>
      </c>
      <c r="E208" s="6" t="s">
        <v>4</v>
      </c>
    </row>
    <row r="209" spans="1:5" x14ac:dyDescent="0.2">
      <c r="A209" s="4">
        <v>208</v>
      </c>
      <c r="B209" s="4" t="s">
        <v>329</v>
      </c>
      <c r="C209" s="4" t="s">
        <v>121</v>
      </c>
      <c r="D209" s="4" t="s">
        <v>9</v>
      </c>
      <c r="E209" s="6" t="s">
        <v>4</v>
      </c>
    </row>
    <row r="210" spans="1:5" x14ac:dyDescent="0.2">
      <c r="A210" s="4">
        <v>209</v>
      </c>
      <c r="B210" s="4" t="s">
        <v>330</v>
      </c>
      <c r="C210" s="4" t="s">
        <v>87</v>
      </c>
      <c r="D210" s="4" t="s">
        <v>9</v>
      </c>
      <c r="E210" s="6" t="s">
        <v>4</v>
      </c>
    </row>
    <row r="211" spans="1:5" x14ac:dyDescent="0.2">
      <c r="A211" s="4">
        <v>210</v>
      </c>
      <c r="B211" s="4" t="s">
        <v>331</v>
      </c>
      <c r="C211" s="4" t="s">
        <v>332</v>
      </c>
      <c r="D211" s="4" t="s">
        <v>205</v>
      </c>
      <c r="E211" s="6" t="s">
        <v>4</v>
      </c>
    </row>
    <row r="212" spans="1:5" x14ac:dyDescent="0.2">
      <c r="A212" s="4">
        <v>211</v>
      </c>
      <c r="B212" s="4" t="s">
        <v>333</v>
      </c>
      <c r="C212" s="4" t="s">
        <v>204</v>
      </c>
      <c r="D212" s="4" t="s">
        <v>334</v>
      </c>
      <c r="E212" s="6" t="s">
        <v>4</v>
      </c>
    </row>
    <row r="213" spans="1:5" x14ac:dyDescent="0.2">
      <c r="A213" s="4">
        <v>212</v>
      </c>
      <c r="B213" s="4" t="s">
        <v>335</v>
      </c>
      <c r="C213" s="4" t="s">
        <v>271</v>
      </c>
      <c r="D213" s="4" t="s">
        <v>334</v>
      </c>
      <c r="E213" s="6" t="s">
        <v>4</v>
      </c>
    </row>
    <row r="214" spans="1:5" x14ac:dyDescent="0.2">
      <c r="A214" s="4">
        <v>213</v>
      </c>
      <c r="B214" s="4" t="s">
        <v>336</v>
      </c>
      <c r="C214" s="4" t="s">
        <v>121</v>
      </c>
      <c r="D214" s="4" t="s">
        <v>334</v>
      </c>
      <c r="E214" s="6" t="s">
        <v>4</v>
      </c>
    </row>
    <row r="215" spans="1:5" x14ac:dyDescent="0.2">
      <c r="A215" s="4">
        <v>214</v>
      </c>
      <c r="B215" s="4" t="s">
        <v>337</v>
      </c>
      <c r="C215" s="4" t="s">
        <v>90</v>
      </c>
      <c r="D215" s="4" t="s">
        <v>205</v>
      </c>
      <c r="E215" s="6" t="s">
        <v>4</v>
      </c>
    </row>
    <row r="216" spans="1:5" x14ac:dyDescent="0.2">
      <c r="A216" s="4">
        <v>215</v>
      </c>
      <c r="B216" s="4" t="s">
        <v>338</v>
      </c>
      <c r="C216" s="4" t="s">
        <v>40</v>
      </c>
      <c r="D216" s="4" t="s">
        <v>32</v>
      </c>
      <c r="E216" s="6" t="s">
        <v>4</v>
      </c>
    </row>
    <row r="217" spans="1:5" x14ac:dyDescent="0.2">
      <c r="A217" s="4">
        <v>216</v>
      </c>
      <c r="B217" s="4" t="s">
        <v>339</v>
      </c>
      <c r="C217" s="4" t="s">
        <v>220</v>
      </c>
      <c r="D217" s="4" t="s">
        <v>27</v>
      </c>
      <c r="E217" s="6" t="s">
        <v>4</v>
      </c>
    </row>
    <row r="218" spans="1:5" x14ac:dyDescent="0.2">
      <c r="A218" s="4">
        <v>217</v>
      </c>
      <c r="B218" s="4" t="s">
        <v>340</v>
      </c>
      <c r="C218" s="4" t="s">
        <v>341</v>
      </c>
      <c r="D218" s="4" t="s">
        <v>27</v>
      </c>
      <c r="E218" s="6" t="s">
        <v>4</v>
      </c>
    </row>
    <row r="219" spans="1:5" x14ac:dyDescent="0.2">
      <c r="A219" s="4">
        <v>218</v>
      </c>
      <c r="B219" s="4" t="s">
        <v>342</v>
      </c>
      <c r="C219" s="4" t="s">
        <v>136</v>
      </c>
      <c r="D219" s="4" t="s">
        <v>343</v>
      </c>
      <c r="E219" s="6" t="s">
        <v>4</v>
      </c>
    </row>
    <row r="220" spans="1:5" x14ac:dyDescent="0.2">
      <c r="A220" s="4">
        <v>219</v>
      </c>
      <c r="B220" s="4" t="s">
        <v>344</v>
      </c>
      <c r="C220" s="4" t="s">
        <v>345</v>
      </c>
      <c r="D220" s="4" t="s">
        <v>32</v>
      </c>
      <c r="E220" s="6" t="s">
        <v>4</v>
      </c>
    </row>
    <row r="221" spans="1:5" x14ac:dyDescent="0.2">
      <c r="A221" s="4">
        <v>220</v>
      </c>
      <c r="B221" s="4" t="s">
        <v>346</v>
      </c>
      <c r="C221" s="4" t="s">
        <v>64</v>
      </c>
      <c r="D221" s="4" t="s">
        <v>52</v>
      </c>
      <c r="E221" s="6" t="s">
        <v>4</v>
      </c>
    </row>
    <row r="222" spans="1:5" x14ac:dyDescent="0.2">
      <c r="A222" s="4">
        <v>221</v>
      </c>
      <c r="B222" s="4" t="s">
        <v>347</v>
      </c>
      <c r="C222" s="4" t="s">
        <v>66</v>
      </c>
      <c r="D222" s="4" t="s">
        <v>27</v>
      </c>
      <c r="E222" s="6" t="s">
        <v>4</v>
      </c>
    </row>
    <row r="223" spans="1:5" x14ac:dyDescent="0.2">
      <c r="A223" s="4">
        <v>222</v>
      </c>
      <c r="B223" s="4" t="s">
        <v>348</v>
      </c>
      <c r="C223" s="4" t="s">
        <v>349</v>
      </c>
      <c r="D223" s="4" t="s">
        <v>32</v>
      </c>
      <c r="E223" s="6" t="s">
        <v>4</v>
      </c>
    </row>
    <row r="224" spans="1:5" x14ac:dyDescent="0.2">
      <c r="A224" s="4">
        <v>223</v>
      </c>
      <c r="B224" s="4" t="s">
        <v>350</v>
      </c>
      <c r="C224" s="4" t="s">
        <v>351</v>
      </c>
      <c r="D224" s="4" t="s">
        <v>49</v>
      </c>
      <c r="E224" s="6" t="s">
        <v>4</v>
      </c>
    </row>
    <row r="225" spans="1:5" x14ac:dyDescent="0.2">
      <c r="A225" s="4">
        <v>224</v>
      </c>
      <c r="B225" s="4" t="s">
        <v>352</v>
      </c>
      <c r="C225" s="4" t="s">
        <v>110</v>
      </c>
      <c r="D225" s="4" t="s">
        <v>27</v>
      </c>
      <c r="E225" s="6" t="s">
        <v>4</v>
      </c>
    </row>
    <row r="226" spans="1:5" x14ac:dyDescent="0.2">
      <c r="A226" s="4">
        <v>225</v>
      </c>
      <c r="B226" s="4" t="s">
        <v>353</v>
      </c>
      <c r="C226" s="4" t="s">
        <v>354</v>
      </c>
      <c r="D226" s="4" t="s">
        <v>32</v>
      </c>
      <c r="E226" s="6" t="s">
        <v>4</v>
      </c>
    </row>
    <row r="227" spans="1:5" x14ac:dyDescent="0.2">
      <c r="A227" s="4">
        <v>226</v>
      </c>
      <c r="B227" s="4" t="s">
        <v>355</v>
      </c>
      <c r="C227" s="4" t="s">
        <v>283</v>
      </c>
      <c r="D227" s="4" t="s">
        <v>27</v>
      </c>
      <c r="E227" s="6" t="s">
        <v>4</v>
      </c>
    </row>
    <row r="228" spans="1:5" x14ac:dyDescent="0.2">
      <c r="A228" s="4">
        <v>227</v>
      </c>
      <c r="B228" s="4" t="s">
        <v>356</v>
      </c>
      <c r="C228" s="4" t="s">
        <v>70</v>
      </c>
      <c r="D228" s="4" t="s">
        <v>32</v>
      </c>
      <c r="E228" s="6" t="s">
        <v>4</v>
      </c>
    </row>
    <row r="229" spans="1:5" x14ac:dyDescent="0.2">
      <c r="A229" s="4">
        <v>228</v>
      </c>
      <c r="B229" s="4" t="s">
        <v>357</v>
      </c>
      <c r="C229" s="4" t="s">
        <v>249</v>
      </c>
      <c r="D229" s="4" t="s">
        <v>32</v>
      </c>
      <c r="E229" s="6" t="s">
        <v>4</v>
      </c>
    </row>
    <row r="230" spans="1:5" x14ac:dyDescent="0.2">
      <c r="A230" s="4">
        <v>229</v>
      </c>
      <c r="B230" s="4" t="s">
        <v>358</v>
      </c>
      <c r="C230" s="4" t="s">
        <v>304</v>
      </c>
      <c r="D230" s="4" t="s">
        <v>49</v>
      </c>
      <c r="E230" s="6" t="s">
        <v>4</v>
      </c>
    </row>
    <row r="231" spans="1:5" x14ac:dyDescent="0.2">
      <c r="A231" s="4">
        <v>230</v>
      </c>
      <c r="B231" s="4" t="s">
        <v>359</v>
      </c>
      <c r="C231" s="4" t="s">
        <v>10</v>
      </c>
      <c r="D231" s="4" t="s">
        <v>49</v>
      </c>
      <c r="E231" s="6" t="s">
        <v>4</v>
      </c>
    </row>
    <row r="232" spans="1:5" x14ac:dyDescent="0.2">
      <c r="A232" s="4">
        <v>231</v>
      </c>
      <c r="B232" s="4" t="s">
        <v>360</v>
      </c>
      <c r="C232" s="4" t="s">
        <v>10</v>
      </c>
      <c r="D232" s="4" t="s">
        <v>27</v>
      </c>
      <c r="E232" s="6" t="s">
        <v>4</v>
      </c>
    </row>
    <row r="233" spans="1:5" x14ac:dyDescent="0.2">
      <c r="A233" s="4">
        <v>232</v>
      </c>
      <c r="B233" s="4" t="s">
        <v>361</v>
      </c>
      <c r="C233" s="4" t="s">
        <v>226</v>
      </c>
      <c r="D233" s="4" t="s">
        <v>32</v>
      </c>
      <c r="E233" s="6" t="s">
        <v>4</v>
      </c>
    </row>
    <row r="234" spans="1:5" x14ac:dyDescent="0.2">
      <c r="A234" s="4">
        <v>233</v>
      </c>
      <c r="B234" s="4" t="s">
        <v>362</v>
      </c>
      <c r="C234" s="4" t="s">
        <v>90</v>
      </c>
      <c r="D234" s="4" t="s">
        <v>32</v>
      </c>
      <c r="E234" s="6" t="s">
        <v>4</v>
      </c>
    </row>
    <row r="235" spans="1:5" x14ac:dyDescent="0.2">
      <c r="A235" s="4">
        <v>234</v>
      </c>
      <c r="B235" s="4" t="s">
        <v>363</v>
      </c>
      <c r="C235" s="4" t="s">
        <v>152</v>
      </c>
      <c r="D235" s="4" t="s">
        <v>27</v>
      </c>
      <c r="E235" s="6" t="s">
        <v>4</v>
      </c>
    </row>
    <row r="236" spans="1:5" x14ac:dyDescent="0.2">
      <c r="A236" s="4">
        <v>235</v>
      </c>
      <c r="B236" s="4" t="s">
        <v>364</v>
      </c>
      <c r="C236" s="4" t="s">
        <v>40</v>
      </c>
      <c r="D236" s="4" t="s">
        <v>52</v>
      </c>
      <c r="E236" s="6" t="s">
        <v>4</v>
      </c>
    </row>
    <row r="237" spans="1:5" x14ac:dyDescent="0.2">
      <c r="A237" s="4">
        <v>236</v>
      </c>
      <c r="B237" s="4" t="s">
        <v>365</v>
      </c>
      <c r="C237" s="4" t="s">
        <v>90</v>
      </c>
      <c r="D237" s="4" t="s">
        <v>27</v>
      </c>
      <c r="E237" s="6" t="s">
        <v>4</v>
      </c>
    </row>
    <row r="238" spans="1:5" x14ac:dyDescent="0.2">
      <c r="A238" s="4">
        <v>237</v>
      </c>
      <c r="B238" s="4" t="s">
        <v>366</v>
      </c>
      <c r="C238" s="4" t="s">
        <v>40</v>
      </c>
      <c r="D238" s="4" t="s">
        <v>32</v>
      </c>
      <c r="E238" s="6" t="s">
        <v>4</v>
      </c>
    </row>
    <row r="239" spans="1:5" x14ac:dyDescent="0.2">
      <c r="A239" s="4">
        <v>238</v>
      </c>
      <c r="B239" s="4" t="s">
        <v>367</v>
      </c>
      <c r="C239" s="4" t="s">
        <v>368</v>
      </c>
      <c r="D239" s="4" t="s">
        <v>27</v>
      </c>
      <c r="E239" s="6" t="s">
        <v>4</v>
      </c>
    </row>
    <row r="240" spans="1:5" x14ac:dyDescent="0.2">
      <c r="A240" s="4">
        <v>239</v>
      </c>
      <c r="B240" s="4" t="s">
        <v>369</v>
      </c>
      <c r="C240" s="4" t="s">
        <v>58</v>
      </c>
      <c r="D240" s="4" t="s">
        <v>27</v>
      </c>
      <c r="E240" s="6" t="s">
        <v>4</v>
      </c>
    </row>
    <row r="241" spans="1:5" x14ac:dyDescent="0.2">
      <c r="A241" s="4">
        <v>240</v>
      </c>
      <c r="B241" s="4" t="s">
        <v>370</v>
      </c>
      <c r="C241" s="4" t="s">
        <v>215</v>
      </c>
      <c r="D241" s="4" t="s">
        <v>27</v>
      </c>
      <c r="E241" s="6" t="s">
        <v>4</v>
      </c>
    </row>
    <row r="242" spans="1:5" x14ac:dyDescent="0.2">
      <c r="A242" s="4">
        <v>241</v>
      </c>
      <c r="B242" s="4" t="s">
        <v>371</v>
      </c>
      <c r="C242" s="4" t="s">
        <v>372</v>
      </c>
      <c r="D242" s="4" t="s">
        <v>27</v>
      </c>
      <c r="E242" s="6" t="s">
        <v>4</v>
      </c>
    </row>
    <row r="243" spans="1:5" x14ac:dyDescent="0.2">
      <c r="A243" s="4">
        <v>242</v>
      </c>
      <c r="B243" s="4" t="s">
        <v>373</v>
      </c>
      <c r="C243" s="4" t="s">
        <v>29</v>
      </c>
      <c r="D243" s="4" t="s">
        <v>32</v>
      </c>
      <c r="E243" s="6" t="s">
        <v>4</v>
      </c>
    </row>
    <row r="244" spans="1:5" x14ac:dyDescent="0.2">
      <c r="A244" s="4">
        <v>243</v>
      </c>
      <c r="B244" s="4" t="s">
        <v>374</v>
      </c>
      <c r="C244" s="4" t="s">
        <v>138</v>
      </c>
      <c r="D244" s="4" t="s">
        <v>32</v>
      </c>
      <c r="E244" s="6" t="s">
        <v>4</v>
      </c>
    </row>
    <row r="245" spans="1:5" x14ac:dyDescent="0.2">
      <c r="A245" s="4">
        <v>244</v>
      </c>
      <c r="B245" s="4" t="s">
        <v>375</v>
      </c>
      <c r="C245" s="4" t="s">
        <v>58</v>
      </c>
      <c r="D245" s="4" t="s">
        <v>32</v>
      </c>
      <c r="E245" s="6" t="s">
        <v>4</v>
      </c>
    </row>
    <row r="246" spans="1:5" x14ac:dyDescent="0.2">
      <c r="A246" s="4">
        <v>245</v>
      </c>
      <c r="B246" s="4" t="s">
        <v>376</v>
      </c>
      <c r="C246" s="4" t="s">
        <v>136</v>
      </c>
      <c r="D246" s="4" t="s">
        <v>27</v>
      </c>
      <c r="E246" s="6" t="s">
        <v>4</v>
      </c>
    </row>
    <row r="247" spans="1:5" x14ac:dyDescent="0.2">
      <c r="A247" s="4">
        <v>246</v>
      </c>
      <c r="B247" s="4" t="s">
        <v>377</v>
      </c>
      <c r="C247" s="4" t="s">
        <v>40</v>
      </c>
      <c r="D247" s="4" t="s">
        <v>32</v>
      </c>
      <c r="E247" s="6" t="s">
        <v>4</v>
      </c>
    </row>
    <row r="248" spans="1:5" x14ac:dyDescent="0.2">
      <c r="A248" s="4">
        <v>247</v>
      </c>
      <c r="B248" s="4" t="s">
        <v>378</v>
      </c>
      <c r="C248" s="4" t="s">
        <v>40</v>
      </c>
      <c r="D248" s="4" t="s">
        <v>27</v>
      </c>
      <c r="E248" s="6" t="s">
        <v>4</v>
      </c>
    </row>
    <row r="249" spans="1:5" x14ac:dyDescent="0.2">
      <c r="A249" s="4">
        <v>248</v>
      </c>
      <c r="B249" s="4" t="s">
        <v>379</v>
      </c>
      <c r="C249" s="4" t="s">
        <v>380</v>
      </c>
      <c r="D249" s="4" t="s">
        <v>32</v>
      </c>
      <c r="E249" s="6" t="s">
        <v>4</v>
      </c>
    </row>
    <row r="250" spans="1:5" x14ac:dyDescent="0.2">
      <c r="A250" s="4">
        <v>249</v>
      </c>
      <c r="B250" s="4" t="s">
        <v>381</v>
      </c>
      <c r="C250" s="4" t="s">
        <v>165</v>
      </c>
      <c r="D250" s="4" t="s">
        <v>32</v>
      </c>
      <c r="E250" s="6" t="s">
        <v>4</v>
      </c>
    </row>
    <row r="251" spans="1:5" x14ac:dyDescent="0.2">
      <c r="A251" s="4">
        <v>250</v>
      </c>
      <c r="B251" s="4" t="s">
        <v>382</v>
      </c>
      <c r="C251" s="4" t="s">
        <v>40</v>
      </c>
      <c r="D251" s="4" t="s">
        <v>27</v>
      </c>
      <c r="E251" s="6" t="s">
        <v>4</v>
      </c>
    </row>
    <row r="252" spans="1:5" x14ac:dyDescent="0.2">
      <c r="A252" s="4">
        <v>251</v>
      </c>
      <c r="B252" s="4" t="s">
        <v>383</v>
      </c>
      <c r="C252" s="4" t="s">
        <v>226</v>
      </c>
      <c r="D252" s="4" t="s">
        <v>27</v>
      </c>
      <c r="E252" s="6" t="s">
        <v>4</v>
      </c>
    </row>
    <row r="253" spans="1:5" x14ac:dyDescent="0.2">
      <c r="A253" s="4">
        <v>252</v>
      </c>
      <c r="B253" s="4" t="s">
        <v>384</v>
      </c>
      <c r="C253" s="4" t="s">
        <v>29</v>
      </c>
      <c r="D253" s="4" t="s">
        <v>27</v>
      </c>
      <c r="E253" s="6" t="s">
        <v>4</v>
      </c>
    </row>
    <row r="254" spans="1:5" x14ac:dyDescent="0.2">
      <c r="A254" s="4">
        <v>253</v>
      </c>
      <c r="B254" s="4" t="s">
        <v>385</v>
      </c>
      <c r="C254" s="4" t="s">
        <v>112</v>
      </c>
      <c r="D254" s="4" t="s">
        <v>27</v>
      </c>
      <c r="E254" s="6" t="s">
        <v>4</v>
      </c>
    </row>
    <row r="255" spans="1:5" x14ac:dyDescent="0.2">
      <c r="A255" s="4">
        <v>254</v>
      </c>
      <c r="B255" s="4" t="s">
        <v>386</v>
      </c>
      <c r="C255" s="4" t="s">
        <v>138</v>
      </c>
      <c r="D255" s="4" t="s">
        <v>49</v>
      </c>
      <c r="E255" s="6" t="s">
        <v>4</v>
      </c>
    </row>
    <row r="256" spans="1:5" x14ac:dyDescent="0.2">
      <c r="A256" s="4">
        <v>255</v>
      </c>
      <c r="B256" s="4" t="s">
        <v>387</v>
      </c>
      <c r="C256" s="4" t="s">
        <v>124</v>
      </c>
      <c r="D256" s="4" t="s">
        <v>27</v>
      </c>
      <c r="E256" s="6" t="s">
        <v>4</v>
      </c>
    </row>
    <row r="257" spans="1:5" x14ac:dyDescent="0.2">
      <c r="A257" s="4">
        <v>256</v>
      </c>
      <c r="B257" s="4" t="s">
        <v>388</v>
      </c>
      <c r="C257" s="4" t="s">
        <v>100</v>
      </c>
      <c r="D257" s="4" t="s">
        <v>27</v>
      </c>
      <c r="E257" s="6" t="s">
        <v>4</v>
      </c>
    </row>
    <row r="258" spans="1:5" x14ac:dyDescent="0.2">
      <c r="A258" s="4">
        <v>257</v>
      </c>
      <c r="B258" s="4" t="s">
        <v>389</v>
      </c>
      <c r="C258" s="4" t="s">
        <v>81</v>
      </c>
      <c r="D258" s="4" t="s">
        <v>27</v>
      </c>
      <c r="E258" s="6" t="s">
        <v>4</v>
      </c>
    </row>
    <row r="259" spans="1:5" x14ac:dyDescent="0.2">
      <c r="A259" s="4">
        <v>258</v>
      </c>
      <c r="B259" s="4" t="s">
        <v>390</v>
      </c>
      <c r="C259" s="4" t="s">
        <v>75</v>
      </c>
      <c r="D259" s="4" t="s">
        <v>27</v>
      </c>
      <c r="E259" s="6" t="s">
        <v>4</v>
      </c>
    </row>
    <row r="260" spans="1:5" x14ac:dyDescent="0.2">
      <c r="A260" s="4">
        <v>259</v>
      </c>
      <c r="B260" s="4" t="s">
        <v>391</v>
      </c>
      <c r="C260" s="4" t="s">
        <v>62</v>
      </c>
      <c r="D260" s="4" t="s">
        <v>27</v>
      </c>
      <c r="E260" s="6" t="s">
        <v>4</v>
      </c>
    </row>
    <row r="261" spans="1:5" x14ac:dyDescent="0.2">
      <c r="A261" s="4">
        <v>260</v>
      </c>
      <c r="B261" s="4" t="s">
        <v>392</v>
      </c>
      <c r="C261" s="4" t="s">
        <v>179</v>
      </c>
      <c r="D261" s="4" t="s">
        <v>27</v>
      </c>
      <c r="E261" s="6" t="s">
        <v>4</v>
      </c>
    </row>
    <row r="262" spans="1:5" x14ac:dyDescent="0.2">
      <c r="A262" s="4">
        <v>261</v>
      </c>
      <c r="B262" s="4" t="s">
        <v>393</v>
      </c>
      <c r="C262" s="4" t="s">
        <v>138</v>
      </c>
      <c r="D262" s="4" t="s">
        <v>27</v>
      </c>
      <c r="E262" s="6" t="s">
        <v>4</v>
      </c>
    </row>
    <row r="263" spans="1:5" x14ac:dyDescent="0.2">
      <c r="A263" s="4">
        <v>262</v>
      </c>
      <c r="B263" s="4" t="s">
        <v>394</v>
      </c>
      <c r="C263" s="4" t="s">
        <v>368</v>
      </c>
      <c r="D263" s="4" t="s">
        <v>27</v>
      </c>
      <c r="E263" s="6" t="s">
        <v>4</v>
      </c>
    </row>
    <row r="264" spans="1:5" x14ac:dyDescent="0.2">
      <c r="A264" s="4">
        <v>263</v>
      </c>
      <c r="B264" s="4" t="s">
        <v>395</v>
      </c>
      <c r="C264" s="4" t="s">
        <v>233</v>
      </c>
      <c r="D264" s="4" t="s">
        <v>32</v>
      </c>
      <c r="E264" s="6" t="s">
        <v>4</v>
      </c>
    </row>
    <row r="265" spans="1:5" x14ac:dyDescent="0.2">
      <c r="A265" s="4">
        <v>264</v>
      </c>
      <c r="B265" s="4" t="s">
        <v>396</v>
      </c>
      <c r="C265" s="4" t="s">
        <v>380</v>
      </c>
      <c r="D265" s="4" t="s">
        <v>27</v>
      </c>
      <c r="E265" s="6" t="s">
        <v>4</v>
      </c>
    </row>
    <row r="266" spans="1:5" x14ac:dyDescent="0.2">
      <c r="A266" s="4">
        <v>265</v>
      </c>
      <c r="B266" s="4" t="s">
        <v>397</v>
      </c>
      <c r="C266" s="4" t="s">
        <v>191</v>
      </c>
      <c r="D266" s="4" t="s">
        <v>27</v>
      </c>
      <c r="E266" s="6" t="s">
        <v>4</v>
      </c>
    </row>
    <row r="267" spans="1:5" x14ac:dyDescent="0.2">
      <c r="A267" s="4">
        <v>266</v>
      </c>
      <c r="B267" s="4" t="s">
        <v>398</v>
      </c>
      <c r="C267" s="4" t="s">
        <v>51</v>
      </c>
      <c r="D267" s="4" t="s">
        <v>27</v>
      </c>
      <c r="E267" s="6" t="s">
        <v>4</v>
      </c>
    </row>
    <row r="268" spans="1:5" x14ac:dyDescent="0.2">
      <c r="A268" s="4">
        <v>267</v>
      </c>
      <c r="B268" s="4" t="s">
        <v>399</v>
      </c>
      <c r="C268" s="4" t="s">
        <v>154</v>
      </c>
      <c r="D268" s="4" t="s">
        <v>27</v>
      </c>
      <c r="E268" s="6" t="s">
        <v>4</v>
      </c>
    </row>
    <row r="269" spans="1:5" x14ac:dyDescent="0.2">
      <c r="A269" s="4">
        <v>268</v>
      </c>
      <c r="B269" s="4" t="s">
        <v>400</v>
      </c>
      <c r="C269" s="4" t="s">
        <v>179</v>
      </c>
      <c r="D269" s="4" t="s">
        <v>27</v>
      </c>
      <c r="E269" s="6" t="s">
        <v>4</v>
      </c>
    </row>
    <row r="270" spans="1:5" x14ac:dyDescent="0.2">
      <c r="A270" s="4">
        <v>269</v>
      </c>
      <c r="B270" s="4" t="s">
        <v>401</v>
      </c>
      <c r="C270" s="4" t="s">
        <v>143</v>
      </c>
      <c r="D270" s="4" t="s">
        <v>32</v>
      </c>
      <c r="E270" s="6" t="s">
        <v>4</v>
      </c>
    </row>
    <row r="271" spans="1:5" x14ac:dyDescent="0.2">
      <c r="A271" s="4">
        <v>270</v>
      </c>
      <c r="B271" s="4" t="s">
        <v>402</v>
      </c>
      <c r="C271" s="4" t="s">
        <v>218</v>
      </c>
      <c r="D271" s="4" t="s">
        <v>32</v>
      </c>
      <c r="E271" s="6" t="s">
        <v>4</v>
      </c>
    </row>
    <row r="272" spans="1:5" x14ac:dyDescent="0.2">
      <c r="A272" s="4">
        <v>271</v>
      </c>
      <c r="B272" s="4" t="s">
        <v>403</v>
      </c>
      <c r="C272" s="4" t="s">
        <v>271</v>
      </c>
      <c r="D272" s="4" t="s">
        <v>32</v>
      </c>
      <c r="E272" s="6" t="s">
        <v>4</v>
      </c>
    </row>
    <row r="273" spans="1:5" x14ac:dyDescent="0.2">
      <c r="A273" s="4">
        <v>272</v>
      </c>
      <c r="B273" s="4" t="s">
        <v>404</v>
      </c>
      <c r="C273" s="4" t="s">
        <v>405</v>
      </c>
      <c r="D273" s="4" t="s">
        <v>27</v>
      </c>
      <c r="E273" s="6" t="s">
        <v>4</v>
      </c>
    </row>
    <row r="274" spans="1:5" x14ac:dyDescent="0.2">
      <c r="A274" s="4">
        <v>273</v>
      </c>
      <c r="B274" s="4" t="s">
        <v>406</v>
      </c>
      <c r="C274" s="4" t="s">
        <v>267</v>
      </c>
      <c r="D274" s="4" t="s">
        <v>52</v>
      </c>
      <c r="E274" s="6" t="s">
        <v>4</v>
      </c>
    </row>
    <row r="275" spans="1:5" x14ac:dyDescent="0.2">
      <c r="A275" s="4">
        <v>274</v>
      </c>
      <c r="B275" s="4" t="s">
        <v>407</v>
      </c>
      <c r="C275" s="4" t="s">
        <v>29</v>
      </c>
      <c r="D275" s="4" t="s">
        <v>32</v>
      </c>
      <c r="E275" s="6" t="s">
        <v>4</v>
      </c>
    </row>
    <row r="276" spans="1:5" x14ac:dyDescent="0.2">
      <c r="A276" s="4">
        <v>275</v>
      </c>
      <c r="B276" s="4" t="s">
        <v>408</v>
      </c>
      <c r="C276" s="4" t="s">
        <v>48</v>
      </c>
      <c r="D276" s="4" t="s">
        <v>32</v>
      </c>
      <c r="E276" s="6" t="s">
        <v>4</v>
      </c>
    </row>
    <row r="277" spans="1:5" x14ac:dyDescent="0.2">
      <c r="A277" s="4">
        <v>276</v>
      </c>
      <c r="B277" s="4" t="s">
        <v>409</v>
      </c>
      <c r="C277" s="4" t="s">
        <v>62</v>
      </c>
      <c r="D277" s="4" t="s">
        <v>27</v>
      </c>
      <c r="E277" s="6" t="s">
        <v>4</v>
      </c>
    </row>
    <row r="278" spans="1:5" x14ac:dyDescent="0.2">
      <c r="A278" s="4">
        <v>277</v>
      </c>
      <c r="B278" s="4" t="s">
        <v>410</v>
      </c>
      <c r="C278" s="4" t="s">
        <v>121</v>
      </c>
      <c r="D278" s="4" t="s">
        <v>27</v>
      </c>
      <c r="E278" s="6" t="s">
        <v>4</v>
      </c>
    </row>
    <row r="279" spans="1:5" x14ac:dyDescent="0.2">
      <c r="A279" s="4">
        <v>278</v>
      </c>
      <c r="B279" s="4" t="s">
        <v>411</v>
      </c>
      <c r="C279" s="4" t="s">
        <v>62</v>
      </c>
      <c r="D279" s="4" t="s">
        <v>32</v>
      </c>
      <c r="E279" s="6" t="s">
        <v>4</v>
      </c>
    </row>
    <row r="280" spans="1:5" x14ac:dyDescent="0.2">
      <c r="A280" s="4">
        <v>279</v>
      </c>
      <c r="B280" s="4" t="s">
        <v>412</v>
      </c>
      <c r="C280" s="4" t="s">
        <v>60</v>
      </c>
      <c r="D280" s="4" t="s">
        <v>27</v>
      </c>
      <c r="E280" s="7" t="s">
        <v>5</v>
      </c>
    </row>
    <row r="281" spans="1:5" x14ac:dyDescent="0.2">
      <c r="A281" s="4">
        <v>280</v>
      </c>
      <c r="B281" s="4" t="s">
        <v>413</v>
      </c>
      <c r="C281" s="4" t="s">
        <v>64</v>
      </c>
      <c r="D281" s="4" t="s">
        <v>52</v>
      </c>
      <c r="E281" s="7" t="s">
        <v>5</v>
      </c>
    </row>
    <row r="282" spans="1:5" x14ac:dyDescent="0.2">
      <c r="A282" s="4">
        <v>281</v>
      </c>
      <c r="B282" s="4" t="s">
        <v>414</v>
      </c>
      <c r="C282" s="4" t="s">
        <v>415</v>
      </c>
      <c r="D282" s="4" t="s">
        <v>52</v>
      </c>
      <c r="E282" s="7" t="s">
        <v>5</v>
      </c>
    </row>
    <row r="283" spans="1:5" x14ac:dyDescent="0.2">
      <c r="A283" s="4">
        <v>282</v>
      </c>
      <c r="B283" s="4" t="s">
        <v>416</v>
      </c>
      <c r="C283" s="4" t="s">
        <v>26</v>
      </c>
      <c r="D283" s="4" t="s">
        <v>52</v>
      </c>
      <c r="E283" s="7" t="s">
        <v>5</v>
      </c>
    </row>
    <row r="284" spans="1:5" ht="28" x14ac:dyDescent="0.2">
      <c r="A284" s="4">
        <v>283</v>
      </c>
      <c r="B284" s="4" t="s">
        <v>417</v>
      </c>
      <c r="C284" s="4" t="s">
        <v>259</v>
      </c>
      <c r="D284" s="4" t="s">
        <v>52</v>
      </c>
      <c r="E284" s="7" t="s">
        <v>5</v>
      </c>
    </row>
    <row r="285" spans="1:5" x14ac:dyDescent="0.2">
      <c r="A285" s="4">
        <v>284</v>
      </c>
      <c r="B285" s="4" t="s">
        <v>418</v>
      </c>
      <c r="C285" s="4" t="s">
        <v>58</v>
      </c>
      <c r="D285" s="4" t="s">
        <v>9</v>
      </c>
      <c r="E285" s="7" t="s">
        <v>5</v>
      </c>
    </row>
    <row r="286" spans="1:5" x14ac:dyDescent="0.2">
      <c r="A286" s="4">
        <v>285</v>
      </c>
      <c r="B286" s="4" t="s">
        <v>419</v>
      </c>
      <c r="C286" s="4" t="s">
        <v>40</v>
      </c>
      <c r="D286" s="4" t="s">
        <v>9</v>
      </c>
      <c r="E286" s="7" t="s">
        <v>5</v>
      </c>
    </row>
    <row r="287" spans="1:5" x14ac:dyDescent="0.2">
      <c r="A287" s="4">
        <v>286</v>
      </c>
      <c r="B287" s="4" t="s">
        <v>420</v>
      </c>
      <c r="C287" s="4" t="s">
        <v>121</v>
      </c>
      <c r="D287" s="4" t="s">
        <v>9</v>
      </c>
      <c r="E287" s="7" t="s">
        <v>5</v>
      </c>
    </row>
    <row r="288" spans="1:5" x14ac:dyDescent="0.2">
      <c r="A288" s="4">
        <v>287</v>
      </c>
      <c r="B288" s="4" t="s">
        <v>421</v>
      </c>
      <c r="C288" s="4" t="s">
        <v>140</v>
      </c>
      <c r="D288" s="4" t="s">
        <v>9</v>
      </c>
      <c r="E288" s="7" t="s">
        <v>5</v>
      </c>
    </row>
    <row r="289" spans="1:5" x14ac:dyDescent="0.2">
      <c r="A289" s="4">
        <v>288</v>
      </c>
      <c r="B289" s="4" t="s">
        <v>422</v>
      </c>
      <c r="C289" s="4" t="s">
        <v>100</v>
      </c>
      <c r="D289" s="4" t="s">
        <v>9</v>
      </c>
      <c r="E289" s="7" t="s">
        <v>5</v>
      </c>
    </row>
    <row r="290" spans="1:5" x14ac:dyDescent="0.2">
      <c r="A290" s="4">
        <v>289</v>
      </c>
      <c r="B290" s="4" t="s">
        <v>423</v>
      </c>
      <c r="C290" s="4" t="s">
        <v>226</v>
      </c>
      <c r="D290" s="4" t="s">
        <v>9</v>
      </c>
      <c r="E290" s="7" t="s">
        <v>5</v>
      </c>
    </row>
    <row r="291" spans="1:5" x14ac:dyDescent="0.2">
      <c r="A291" s="4">
        <v>290</v>
      </c>
      <c r="B291" s="4" t="s">
        <v>424</v>
      </c>
      <c r="C291" s="4" t="s">
        <v>110</v>
      </c>
      <c r="D291" s="4" t="s">
        <v>9</v>
      </c>
      <c r="E291" s="7" t="s">
        <v>5</v>
      </c>
    </row>
    <row r="292" spans="1:5" x14ac:dyDescent="0.2">
      <c r="A292" s="4">
        <v>291</v>
      </c>
      <c r="B292" s="4" t="s">
        <v>425</v>
      </c>
      <c r="C292" s="4" t="s">
        <v>327</v>
      </c>
      <c r="D292" s="4" t="s">
        <v>9</v>
      </c>
      <c r="E292" s="7" t="s">
        <v>5</v>
      </c>
    </row>
    <row r="293" spans="1:5" x14ac:dyDescent="0.2">
      <c r="A293" s="4">
        <v>292</v>
      </c>
      <c r="B293" s="4" t="s">
        <v>426</v>
      </c>
      <c r="C293" s="4" t="s">
        <v>345</v>
      </c>
      <c r="D293" s="4" t="s">
        <v>9</v>
      </c>
      <c r="E293" s="7" t="s">
        <v>5</v>
      </c>
    </row>
    <row r="294" spans="1:5" x14ac:dyDescent="0.2">
      <c r="A294" s="4">
        <v>293</v>
      </c>
      <c r="B294" s="4" t="s">
        <v>427</v>
      </c>
      <c r="C294" s="4" t="s">
        <v>54</v>
      </c>
      <c r="D294" s="4" t="s">
        <v>9</v>
      </c>
      <c r="E294" s="7" t="s">
        <v>5</v>
      </c>
    </row>
    <row r="295" spans="1:5" x14ac:dyDescent="0.2">
      <c r="A295" s="4">
        <v>294</v>
      </c>
      <c r="B295" s="4" t="s">
        <v>428</v>
      </c>
      <c r="C295" s="4" t="s">
        <v>58</v>
      </c>
      <c r="D295" s="4" t="s">
        <v>9</v>
      </c>
      <c r="E295" s="7" t="s">
        <v>5</v>
      </c>
    </row>
    <row r="296" spans="1:5" x14ac:dyDescent="0.2">
      <c r="A296" s="4">
        <v>295</v>
      </c>
      <c r="B296" s="4" t="s">
        <v>429</v>
      </c>
      <c r="C296" s="4" t="s">
        <v>58</v>
      </c>
      <c r="D296" s="4" t="s">
        <v>9</v>
      </c>
      <c r="E296" s="7" t="s">
        <v>5</v>
      </c>
    </row>
    <row r="297" spans="1:5" x14ac:dyDescent="0.2">
      <c r="A297" s="4">
        <v>296</v>
      </c>
      <c r="B297" s="4" t="s">
        <v>430</v>
      </c>
      <c r="C297" s="4" t="s">
        <v>160</v>
      </c>
      <c r="D297" s="4" t="s">
        <v>334</v>
      </c>
      <c r="E297" s="7" t="s">
        <v>5</v>
      </c>
    </row>
    <row r="298" spans="1:5" x14ac:dyDescent="0.2">
      <c r="A298" s="4">
        <v>297</v>
      </c>
      <c r="B298" s="4" t="s">
        <v>431</v>
      </c>
      <c r="C298" s="4" t="s">
        <v>218</v>
      </c>
      <c r="D298" s="4" t="s">
        <v>334</v>
      </c>
      <c r="E298" s="7" t="s">
        <v>5</v>
      </c>
    </row>
    <row r="299" spans="1:5" x14ac:dyDescent="0.2">
      <c r="A299" s="4">
        <v>298</v>
      </c>
      <c r="B299" s="4" t="s">
        <v>432</v>
      </c>
      <c r="C299" s="4" t="s">
        <v>48</v>
      </c>
      <c r="D299" s="4" t="s">
        <v>27</v>
      </c>
      <c r="E299" s="7" t="s">
        <v>5</v>
      </c>
    </row>
    <row r="300" spans="1:5" x14ac:dyDescent="0.2">
      <c r="A300" s="4">
        <v>299</v>
      </c>
      <c r="B300" s="4" t="s">
        <v>433</v>
      </c>
      <c r="C300" s="4" t="s">
        <v>100</v>
      </c>
      <c r="D300" s="4" t="s">
        <v>27</v>
      </c>
      <c r="E300" s="7" t="s">
        <v>5</v>
      </c>
    </row>
    <row r="301" spans="1:5" x14ac:dyDescent="0.2">
      <c r="A301" s="4">
        <v>300</v>
      </c>
      <c r="B301" s="4" t="s">
        <v>434</v>
      </c>
      <c r="C301" s="4" t="s">
        <v>249</v>
      </c>
      <c r="D301" s="4" t="s">
        <v>52</v>
      </c>
      <c r="E301" s="7" t="s">
        <v>5</v>
      </c>
    </row>
    <row r="302" spans="1:5" x14ac:dyDescent="0.2">
      <c r="A302" s="4">
        <v>301</v>
      </c>
      <c r="B302" s="4" t="s">
        <v>435</v>
      </c>
      <c r="C302" s="4" t="s">
        <v>31</v>
      </c>
      <c r="D302" s="4" t="s">
        <v>27</v>
      </c>
      <c r="E302" s="7" t="s">
        <v>5</v>
      </c>
    </row>
    <row r="303" spans="1:5" x14ac:dyDescent="0.2">
      <c r="A303" s="4">
        <v>302</v>
      </c>
      <c r="B303" s="4" t="s">
        <v>436</v>
      </c>
      <c r="C303" s="4" t="s">
        <v>85</v>
      </c>
      <c r="D303" s="4" t="s">
        <v>32</v>
      </c>
      <c r="E303" s="7" t="s">
        <v>5</v>
      </c>
    </row>
    <row r="304" spans="1:5" x14ac:dyDescent="0.2">
      <c r="A304" s="4">
        <v>303</v>
      </c>
      <c r="B304" s="4" t="s">
        <v>437</v>
      </c>
      <c r="C304" s="4" t="s">
        <v>10</v>
      </c>
      <c r="D304" s="4" t="s">
        <v>52</v>
      </c>
      <c r="E304" s="7" t="s">
        <v>5</v>
      </c>
    </row>
    <row r="305" spans="1:5" ht="28" x14ac:dyDescent="0.2">
      <c r="A305" s="4">
        <v>304</v>
      </c>
      <c r="B305" s="4" t="s">
        <v>438</v>
      </c>
      <c r="C305" s="4" t="s">
        <v>40</v>
      </c>
      <c r="D305" s="4" t="s">
        <v>32</v>
      </c>
      <c r="E305" s="7" t="s">
        <v>5</v>
      </c>
    </row>
    <row r="306" spans="1:5" ht="28" x14ac:dyDescent="0.2">
      <c r="A306" s="4">
        <v>305</v>
      </c>
      <c r="B306" s="4" t="s">
        <v>439</v>
      </c>
      <c r="C306" s="4" t="s">
        <v>98</v>
      </c>
      <c r="D306" s="4" t="s">
        <v>27</v>
      </c>
      <c r="E306" s="7" t="s">
        <v>5</v>
      </c>
    </row>
  </sheetData>
  <autoFilter ref="A1:E30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50" customWidth="1"/>
    <col min="3" max="3" width="11" customWidth="1"/>
    <col min="4" max="4" width="55" customWidth="1"/>
    <col min="5" max="5" width="90" customWidth="1"/>
  </cols>
  <sheetData>
    <row r="1" spans="1:5" x14ac:dyDescent="0.2">
      <c r="A1" s="3" t="s">
        <v>20</v>
      </c>
      <c r="B1" s="3" t="s">
        <v>21</v>
      </c>
      <c r="C1" s="3" t="s">
        <v>24</v>
      </c>
      <c r="D1" s="3" t="s">
        <v>440</v>
      </c>
      <c r="E1" s="3" t="s">
        <v>441</v>
      </c>
    </row>
    <row r="2" spans="1:5" ht="90" customHeight="1" x14ac:dyDescent="0.2">
      <c r="A2" s="8">
        <v>1</v>
      </c>
      <c r="B2" s="8" t="s">
        <v>25</v>
      </c>
      <c r="C2" s="9" t="s">
        <v>3</v>
      </c>
      <c r="D2" s="8" t="s">
        <v>442</v>
      </c>
      <c r="E2" s="10" t="s">
        <v>443</v>
      </c>
    </row>
    <row r="3" spans="1:5" ht="90" customHeight="1" x14ac:dyDescent="0.2">
      <c r="A3" s="8">
        <v>2</v>
      </c>
      <c r="B3" s="8" t="s">
        <v>28</v>
      </c>
      <c r="C3" s="9" t="s">
        <v>3</v>
      </c>
      <c r="D3" s="8" t="s">
        <v>444</v>
      </c>
      <c r="E3" s="10" t="s">
        <v>445</v>
      </c>
    </row>
    <row r="4" spans="1:5" ht="90" customHeight="1" x14ac:dyDescent="0.2">
      <c r="A4" s="8">
        <v>3</v>
      </c>
      <c r="B4" s="8" t="s">
        <v>30</v>
      </c>
      <c r="C4" s="9" t="s">
        <v>3</v>
      </c>
      <c r="D4" s="8" t="s">
        <v>446</v>
      </c>
      <c r="E4" s="10" t="s">
        <v>447</v>
      </c>
    </row>
    <row r="5" spans="1:5" ht="90" customHeight="1" x14ac:dyDescent="0.2">
      <c r="A5" s="8">
        <v>4</v>
      </c>
      <c r="B5" s="8" t="s">
        <v>33</v>
      </c>
      <c r="C5" s="9" t="s">
        <v>3</v>
      </c>
      <c r="D5" s="8" t="s">
        <v>448</v>
      </c>
      <c r="E5" s="10" t="s">
        <v>449</v>
      </c>
    </row>
    <row r="6" spans="1:5" ht="90" customHeight="1" x14ac:dyDescent="0.2">
      <c r="A6" s="8">
        <v>5</v>
      </c>
      <c r="B6" s="8" t="s">
        <v>35</v>
      </c>
      <c r="C6" s="9" t="s">
        <v>3</v>
      </c>
      <c r="D6" s="8" t="s">
        <v>450</v>
      </c>
      <c r="E6" s="10" t="s">
        <v>451</v>
      </c>
    </row>
    <row r="7" spans="1:5" ht="90" customHeight="1" x14ac:dyDescent="0.2">
      <c r="A7" s="8">
        <v>6</v>
      </c>
      <c r="B7" s="8" t="s">
        <v>37</v>
      </c>
      <c r="C7" s="9" t="s">
        <v>3</v>
      </c>
      <c r="D7" s="8" t="s">
        <v>452</v>
      </c>
      <c r="E7" s="10" t="s">
        <v>453</v>
      </c>
    </row>
    <row r="8" spans="1:5" ht="90" customHeight="1" x14ac:dyDescent="0.2">
      <c r="A8" s="8">
        <v>7</v>
      </c>
      <c r="B8" s="8" t="s">
        <v>39</v>
      </c>
      <c r="C8" s="9" t="s">
        <v>3</v>
      </c>
      <c r="D8" s="8" t="s">
        <v>454</v>
      </c>
      <c r="E8" s="10" t="s">
        <v>455</v>
      </c>
    </row>
    <row r="9" spans="1:5" ht="90" customHeight="1" x14ac:dyDescent="0.2">
      <c r="A9" s="8">
        <v>8</v>
      </c>
      <c r="B9" s="8" t="s">
        <v>42</v>
      </c>
      <c r="C9" s="9" t="s">
        <v>3</v>
      </c>
      <c r="D9" s="8" t="s">
        <v>456</v>
      </c>
      <c r="E9" s="10" t="s">
        <v>457</v>
      </c>
    </row>
    <row r="10" spans="1:5" ht="90" customHeight="1" x14ac:dyDescent="0.2">
      <c r="A10" s="8">
        <v>9</v>
      </c>
      <c r="B10" s="8" t="s">
        <v>44</v>
      </c>
      <c r="C10" s="9" t="s">
        <v>3</v>
      </c>
      <c r="D10" s="8" t="s">
        <v>458</v>
      </c>
      <c r="E10" s="10" t="s">
        <v>459</v>
      </c>
    </row>
    <row r="11" spans="1:5" ht="90" customHeight="1" x14ac:dyDescent="0.2">
      <c r="A11" s="8">
        <v>10</v>
      </c>
      <c r="B11" s="8" t="s">
        <v>45</v>
      </c>
      <c r="C11" s="9" t="s">
        <v>3</v>
      </c>
      <c r="D11" s="8" t="s">
        <v>460</v>
      </c>
      <c r="E11" s="10" t="s">
        <v>461</v>
      </c>
    </row>
    <row r="12" spans="1:5" ht="90" customHeight="1" x14ac:dyDescent="0.2">
      <c r="A12" s="8">
        <v>11</v>
      </c>
      <c r="B12" s="8" t="s">
        <v>47</v>
      </c>
      <c r="C12" s="9" t="s">
        <v>3</v>
      </c>
      <c r="D12" s="8" t="s">
        <v>462</v>
      </c>
      <c r="E12" s="10" t="s">
        <v>463</v>
      </c>
    </row>
    <row r="13" spans="1:5" ht="90" customHeight="1" x14ac:dyDescent="0.2">
      <c r="A13" s="8">
        <v>12</v>
      </c>
      <c r="B13" s="8" t="s">
        <v>50</v>
      </c>
      <c r="C13" s="9" t="s">
        <v>3</v>
      </c>
      <c r="D13" s="8" t="s">
        <v>448</v>
      </c>
      <c r="E13" s="10" t="s">
        <v>464</v>
      </c>
    </row>
    <row r="14" spans="1:5" ht="90" customHeight="1" x14ac:dyDescent="0.2">
      <c r="A14" s="8">
        <v>13</v>
      </c>
      <c r="B14" s="8" t="s">
        <v>53</v>
      </c>
      <c r="C14" s="9" t="s">
        <v>3</v>
      </c>
      <c r="D14" s="8" t="s">
        <v>465</v>
      </c>
      <c r="E14" s="10" t="s">
        <v>466</v>
      </c>
    </row>
    <row r="15" spans="1:5" ht="90" customHeight="1" x14ac:dyDescent="0.2">
      <c r="A15" s="8">
        <v>14</v>
      </c>
      <c r="B15" s="8" t="s">
        <v>55</v>
      </c>
      <c r="C15" s="9" t="s">
        <v>3</v>
      </c>
      <c r="D15" s="8" t="s">
        <v>446</v>
      </c>
      <c r="E15" s="10" t="s">
        <v>467</v>
      </c>
    </row>
    <row r="16" spans="1:5" ht="90" customHeight="1" x14ac:dyDescent="0.2">
      <c r="A16" s="8">
        <v>15</v>
      </c>
      <c r="B16" s="8" t="s">
        <v>57</v>
      </c>
      <c r="C16" s="9" t="s">
        <v>3</v>
      </c>
      <c r="D16" s="8" t="s">
        <v>468</v>
      </c>
      <c r="E16" s="10" t="s">
        <v>469</v>
      </c>
    </row>
    <row r="17" spans="1:5" ht="90" customHeight="1" x14ac:dyDescent="0.2">
      <c r="A17" s="8">
        <v>16</v>
      </c>
      <c r="B17" s="8" t="s">
        <v>59</v>
      </c>
      <c r="C17" s="9" t="s">
        <v>3</v>
      </c>
      <c r="D17" s="8" t="s">
        <v>470</v>
      </c>
      <c r="E17" s="10" t="s">
        <v>471</v>
      </c>
    </row>
    <row r="18" spans="1:5" ht="90" customHeight="1" x14ac:dyDescent="0.2">
      <c r="A18" s="8">
        <v>17</v>
      </c>
      <c r="B18" s="8" t="s">
        <v>61</v>
      </c>
      <c r="C18" s="9" t="s">
        <v>3</v>
      </c>
      <c r="D18" s="8" t="s">
        <v>472</v>
      </c>
      <c r="E18" s="10" t="s">
        <v>473</v>
      </c>
    </row>
    <row r="19" spans="1:5" ht="90" customHeight="1" x14ac:dyDescent="0.2">
      <c r="A19" s="8">
        <v>18</v>
      </c>
      <c r="B19" s="8" t="s">
        <v>63</v>
      </c>
      <c r="C19" s="9" t="s">
        <v>3</v>
      </c>
      <c r="D19" s="8" t="s">
        <v>474</v>
      </c>
      <c r="E19" s="10" t="s">
        <v>475</v>
      </c>
    </row>
    <row r="20" spans="1:5" ht="90" customHeight="1" x14ac:dyDescent="0.2">
      <c r="A20" s="8">
        <v>19</v>
      </c>
      <c r="B20" s="8" t="s">
        <v>65</v>
      </c>
      <c r="C20" s="9" t="s">
        <v>3</v>
      </c>
      <c r="D20" s="8" t="s">
        <v>476</v>
      </c>
      <c r="E20" s="10" t="s">
        <v>477</v>
      </c>
    </row>
    <row r="21" spans="1:5" ht="90" customHeight="1" x14ac:dyDescent="0.2">
      <c r="A21" s="8">
        <v>20</v>
      </c>
      <c r="B21" s="8" t="s">
        <v>67</v>
      </c>
      <c r="C21" s="9" t="s">
        <v>3</v>
      </c>
      <c r="D21" s="8" t="s">
        <v>478</v>
      </c>
      <c r="E21" s="10" t="s">
        <v>479</v>
      </c>
    </row>
    <row r="22" spans="1:5" ht="90" customHeight="1" x14ac:dyDescent="0.2">
      <c r="A22" s="8">
        <v>21</v>
      </c>
      <c r="B22" s="8" t="s">
        <v>69</v>
      </c>
      <c r="C22" s="9" t="s">
        <v>3</v>
      </c>
      <c r="D22" s="8" t="s">
        <v>480</v>
      </c>
      <c r="E22" s="10" t="s">
        <v>481</v>
      </c>
    </row>
    <row r="23" spans="1:5" ht="90" customHeight="1" x14ac:dyDescent="0.2">
      <c r="A23" s="8">
        <v>22</v>
      </c>
      <c r="B23" s="8" t="s">
        <v>71</v>
      </c>
      <c r="C23" s="9" t="s">
        <v>3</v>
      </c>
      <c r="D23" s="8" t="s">
        <v>482</v>
      </c>
      <c r="E23" s="10" t="s">
        <v>483</v>
      </c>
    </row>
    <row r="24" spans="1:5" ht="90" customHeight="1" x14ac:dyDescent="0.2">
      <c r="A24" s="8">
        <v>23</v>
      </c>
      <c r="B24" s="8" t="s">
        <v>73</v>
      </c>
      <c r="C24" s="9" t="s">
        <v>3</v>
      </c>
      <c r="D24" s="8" t="s">
        <v>484</v>
      </c>
      <c r="E24" s="10" t="s">
        <v>485</v>
      </c>
    </row>
    <row r="25" spans="1:5" ht="90" customHeight="1" x14ac:dyDescent="0.2">
      <c r="A25" s="8">
        <v>24</v>
      </c>
      <c r="B25" s="8" t="s">
        <v>74</v>
      </c>
      <c r="C25" s="9" t="s">
        <v>3</v>
      </c>
      <c r="D25" s="8" t="s">
        <v>486</v>
      </c>
      <c r="E25" s="10" t="s">
        <v>487</v>
      </c>
    </row>
    <row r="26" spans="1:5" ht="90" customHeight="1" x14ac:dyDescent="0.2">
      <c r="A26" s="8">
        <v>25</v>
      </c>
      <c r="B26" s="8" t="s">
        <v>76</v>
      </c>
      <c r="C26" s="9" t="s">
        <v>3</v>
      </c>
      <c r="D26" s="8" t="s">
        <v>488</v>
      </c>
      <c r="E26" s="10" t="s">
        <v>489</v>
      </c>
    </row>
    <row r="27" spans="1:5" ht="90" customHeight="1" x14ac:dyDescent="0.2">
      <c r="A27" s="8">
        <v>26</v>
      </c>
      <c r="B27" s="8" t="s">
        <v>78</v>
      </c>
      <c r="C27" s="9" t="s">
        <v>3</v>
      </c>
      <c r="D27" s="8" t="s">
        <v>490</v>
      </c>
      <c r="E27" s="10" t="s">
        <v>491</v>
      </c>
    </row>
    <row r="28" spans="1:5" ht="90" customHeight="1" x14ac:dyDescent="0.2">
      <c r="A28" s="8">
        <v>27</v>
      </c>
      <c r="B28" s="8" t="s">
        <v>80</v>
      </c>
      <c r="C28" s="9" t="s">
        <v>3</v>
      </c>
      <c r="D28" s="8" t="s">
        <v>492</v>
      </c>
      <c r="E28" s="10" t="s">
        <v>493</v>
      </c>
    </row>
    <row r="29" spans="1:5" ht="90" customHeight="1" x14ac:dyDescent="0.2">
      <c r="A29" s="8">
        <v>28</v>
      </c>
      <c r="B29" s="8" t="s">
        <v>82</v>
      </c>
      <c r="C29" s="9" t="s">
        <v>3</v>
      </c>
      <c r="D29" s="8" t="s">
        <v>494</v>
      </c>
      <c r="E29" s="10" t="s">
        <v>495</v>
      </c>
    </row>
    <row r="30" spans="1:5" ht="90" customHeight="1" x14ac:dyDescent="0.2">
      <c r="A30" s="8">
        <v>29</v>
      </c>
      <c r="B30" s="8" t="s">
        <v>84</v>
      </c>
      <c r="C30" s="9" t="s">
        <v>3</v>
      </c>
      <c r="D30" s="8" t="s">
        <v>496</v>
      </c>
      <c r="E30" s="10" t="s">
        <v>497</v>
      </c>
    </row>
    <row r="31" spans="1:5" ht="90" customHeight="1" x14ac:dyDescent="0.2">
      <c r="A31" s="8">
        <v>30</v>
      </c>
      <c r="B31" s="8" t="s">
        <v>86</v>
      </c>
      <c r="C31" s="9" t="s">
        <v>3</v>
      </c>
      <c r="D31" s="8" t="s">
        <v>498</v>
      </c>
      <c r="E31" s="10" t="s">
        <v>499</v>
      </c>
    </row>
    <row r="32" spans="1:5" ht="90" customHeight="1" x14ac:dyDescent="0.2">
      <c r="A32" s="8">
        <v>31</v>
      </c>
      <c r="B32" s="8" t="s">
        <v>88</v>
      </c>
      <c r="C32" s="9" t="s">
        <v>3</v>
      </c>
      <c r="D32" s="8" t="s">
        <v>500</v>
      </c>
      <c r="E32" s="10" t="s">
        <v>501</v>
      </c>
    </row>
    <row r="33" spans="1:5" ht="90" customHeight="1" x14ac:dyDescent="0.2">
      <c r="A33" s="8">
        <v>32</v>
      </c>
      <c r="B33" s="8" t="s">
        <v>89</v>
      </c>
      <c r="C33" s="9" t="s">
        <v>3</v>
      </c>
      <c r="D33" s="8" t="s">
        <v>484</v>
      </c>
      <c r="E33" s="10" t="s">
        <v>502</v>
      </c>
    </row>
    <row r="34" spans="1:5" ht="90" customHeight="1" x14ac:dyDescent="0.2">
      <c r="A34" s="8">
        <v>33</v>
      </c>
      <c r="B34" s="8" t="s">
        <v>91</v>
      </c>
      <c r="C34" s="9" t="s">
        <v>3</v>
      </c>
      <c r="D34" s="8" t="s">
        <v>503</v>
      </c>
      <c r="E34" s="10" t="s">
        <v>504</v>
      </c>
    </row>
    <row r="35" spans="1:5" ht="90" customHeight="1" x14ac:dyDescent="0.2">
      <c r="A35" s="8">
        <v>34</v>
      </c>
      <c r="B35" s="8" t="s">
        <v>93</v>
      </c>
      <c r="C35" s="9" t="s">
        <v>3</v>
      </c>
      <c r="D35" s="8" t="s">
        <v>505</v>
      </c>
      <c r="E35" s="10" t="s">
        <v>506</v>
      </c>
    </row>
    <row r="36" spans="1:5" ht="90" customHeight="1" x14ac:dyDescent="0.2">
      <c r="A36" s="8">
        <v>35</v>
      </c>
      <c r="B36" s="8" t="s">
        <v>94</v>
      </c>
      <c r="C36" s="9" t="s">
        <v>3</v>
      </c>
      <c r="D36" s="8" t="s">
        <v>507</v>
      </c>
      <c r="E36" s="10" t="s">
        <v>508</v>
      </c>
    </row>
    <row r="37" spans="1:5" ht="90" customHeight="1" x14ac:dyDescent="0.2">
      <c r="A37" s="8">
        <v>36</v>
      </c>
      <c r="B37" s="8" t="s">
        <v>96</v>
      </c>
      <c r="C37" s="9" t="s">
        <v>3</v>
      </c>
      <c r="D37" s="8" t="s">
        <v>509</v>
      </c>
      <c r="E37" s="10" t="s">
        <v>510</v>
      </c>
    </row>
    <row r="38" spans="1:5" ht="90" customHeight="1" x14ac:dyDescent="0.2">
      <c r="A38" s="8">
        <v>37</v>
      </c>
      <c r="B38" s="8" t="s">
        <v>97</v>
      </c>
      <c r="C38" s="9" t="s">
        <v>3</v>
      </c>
      <c r="D38" s="8" t="s">
        <v>511</v>
      </c>
      <c r="E38" s="10" t="s">
        <v>512</v>
      </c>
    </row>
    <row r="39" spans="1:5" ht="90" customHeight="1" x14ac:dyDescent="0.2">
      <c r="A39" s="8">
        <v>38</v>
      </c>
      <c r="B39" s="8" t="s">
        <v>99</v>
      </c>
      <c r="C39" s="9" t="s">
        <v>3</v>
      </c>
      <c r="D39" s="8" t="s">
        <v>513</v>
      </c>
      <c r="E39" s="10" t="s">
        <v>514</v>
      </c>
    </row>
    <row r="40" spans="1:5" ht="90" customHeight="1" x14ac:dyDescent="0.2">
      <c r="A40" s="8">
        <v>39</v>
      </c>
      <c r="B40" s="8" t="s">
        <v>101</v>
      </c>
      <c r="C40" s="9" t="s">
        <v>3</v>
      </c>
      <c r="D40" s="8" t="s">
        <v>515</v>
      </c>
      <c r="E40" s="10" t="s">
        <v>516</v>
      </c>
    </row>
    <row r="41" spans="1:5" ht="90" customHeight="1" x14ac:dyDescent="0.2">
      <c r="A41" s="8">
        <v>40</v>
      </c>
      <c r="B41" s="8" t="s">
        <v>103</v>
      </c>
      <c r="C41" s="9" t="s">
        <v>3</v>
      </c>
      <c r="D41" s="8" t="s">
        <v>517</v>
      </c>
      <c r="E41" s="10" t="s">
        <v>518</v>
      </c>
    </row>
    <row r="42" spans="1:5" ht="90" customHeight="1" x14ac:dyDescent="0.2">
      <c r="A42" s="8">
        <v>41</v>
      </c>
      <c r="B42" s="8" t="s">
        <v>104</v>
      </c>
      <c r="C42" s="9" t="s">
        <v>3</v>
      </c>
      <c r="D42" s="8" t="s">
        <v>519</v>
      </c>
      <c r="E42" s="10" t="s">
        <v>520</v>
      </c>
    </row>
    <row r="43" spans="1:5" ht="90" customHeight="1" x14ac:dyDescent="0.2">
      <c r="A43" s="8">
        <v>42</v>
      </c>
      <c r="B43" s="8" t="s">
        <v>106</v>
      </c>
      <c r="C43" s="9" t="s">
        <v>3</v>
      </c>
      <c r="D43" s="8" t="s">
        <v>521</v>
      </c>
      <c r="E43" s="10" t="s">
        <v>522</v>
      </c>
    </row>
    <row r="44" spans="1:5" ht="90" customHeight="1" x14ac:dyDescent="0.2">
      <c r="A44" s="8">
        <v>43</v>
      </c>
      <c r="B44" s="8" t="s">
        <v>108</v>
      </c>
      <c r="C44" s="9" t="s">
        <v>3</v>
      </c>
      <c r="D44" s="8" t="s">
        <v>523</v>
      </c>
      <c r="E44" s="10" t="s">
        <v>524</v>
      </c>
    </row>
    <row r="45" spans="1:5" ht="90" customHeight="1" x14ac:dyDescent="0.2">
      <c r="A45" s="8">
        <v>44</v>
      </c>
      <c r="B45" s="8" t="s">
        <v>109</v>
      </c>
      <c r="C45" s="9" t="s">
        <v>3</v>
      </c>
      <c r="D45" s="8" t="s">
        <v>496</v>
      </c>
      <c r="E45" s="10" t="s">
        <v>525</v>
      </c>
    </row>
    <row r="46" spans="1:5" ht="90" customHeight="1" x14ac:dyDescent="0.2">
      <c r="A46" s="8">
        <v>45</v>
      </c>
      <c r="B46" s="8" t="s">
        <v>111</v>
      </c>
      <c r="C46" s="9" t="s">
        <v>3</v>
      </c>
      <c r="D46" s="8" t="s">
        <v>526</v>
      </c>
      <c r="E46" s="10" t="s">
        <v>527</v>
      </c>
    </row>
    <row r="47" spans="1:5" ht="90" customHeight="1" x14ac:dyDescent="0.2">
      <c r="A47" s="8">
        <v>46</v>
      </c>
      <c r="B47" s="8" t="s">
        <v>113</v>
      </c>
      <c r="C47" s="9" t="s">
        <v>3</v>
      </c>
      <c r="D47" s="8" t="s">
        <v>528</v>
      </c>
      <c r="E47" s="10" t="s">
        <v>529</v>
      </c>
    </row>
    <row r="48" spans="1:5" ht="90" customHeight="1" x14ac:dyDescent="0.2">
      <c r="A48" s="8">
        <v>47</v>
      </c>
      <c r="B48" s="8" t="s">
        <v>115</v>
      </c>
      <c r="C48" s="9" t="s">
        <v>3</v>
      </c>
      <c r="D48" s="8" t="s">
        <v>530</v>
      </c>
      <c r="E48" s="10" t="s">
        <v>531</v>
      </c>
    </row>
    <row r="49" spans="1:5" ht="90" customHeight="1" x14ac:dyDescent="0.2">
      <c r="A49" s="8">
        <v>48</v>
      </c>
      <c r="B49" s="8" t="s">
        <v>117</v>
      </c>
      <c r="C49" s="9" t="s">
        <v>3</v>
      </c>
      <c r="D49" s="8" t="s">
        <v>532</v>
      </c>
      <c r="E49" s="10" t="s">
        <v>533</v>
      </c>
    </row>
    <row r="50" spans="1:5" ht="90" customHeight="1" x14ac:dyDescent="0.2">
      <c r="A50" s="8">
        <v>49</v>
      </c>
      <c r="B50" s="8" t="s">
        <v>119</v>
      </c>
      <c r="C50" s="9" t="s">
        <v>3</v>
      </c>
      <c r="D50" s="8" t="s">
        <v>534</v>
      </c>
      <c r="E50" s="10" t="s">
        <v>535</v>
      </c>
    </row>
    <row r="51" spans="1:5" ht="90" customHeight="1" x14ac:dyDescent="0.2">
      <c r="A51" s="8">
        <v>50</v>
      </c>
      <c r="B51" s="8" t="s">
        <v>120</v>
      </c>
      <c r="C51" s="9" t="s">
        <v>3</v>
      </c>
      <c r="D51" s="8" t="s">
        <v>536</v>
      </c>
      <c r="E51" s="10" t="s">
        <v>537</v>
      </c>
    </row>
    <row r="52" spans="1:5" ht="90" customHeight="1" x14ac:dyDescent="0.2">
      <c r="A52" s="8">
        <v>51</v>
      </c>
      <c r="B52" s="8" t="s">
        <v>122</v>
      </c>
      <c r="C52" s="9" t="s">
        <v>3</v>
      </c>
      <c r="D52" s="8" t="s">
        <v>538</v>
      </c>
      <c r="E52" s="10" t="s">
        <v>539</v>
      </c>
    </row>
    <row r="53" spans="1:5" ht="90" customHeight="1" x14ac:dyDescent="0.2">
      <c r="A53" s="8">
        <v>52</v>
      </c>
      <c r="B53" s="8" t="s">
        <v>123</v>
      </c>
      <c r="C53" s="9" t="s">
        <v>3</v>
      </c>
      <c r="D53" s="8" t="s">
        <v>540</v>
      </c>
      <c r="E53" s="10" t="s">
        <v>541</v>
      </c>
    </row>
    <row r="54" spans="1:5" ht="90" customHeight="1" x14ac:dyDescent="0.2">
      <c r="A54" s="8">
        <v>53</v>
      </c>
      <c r="B54" s="8" t="s">
        <v>125</v>
      </c>
      <c r="C54" s="9" t="s">
        <v>3</v>
      </c>
      <c r="D54" s="8" t="s">
        <v>542</v>
      </c>
      <c r="E54" s="10" t="s">
        <v>543</v>
      </c>
    </row>
    <row r="55" spans="1:5" ht="90" customHeight="1" x14ac:dyDescent="0.2">
      <c r="A55" s="8">
        <v>54</v>
      </c>
      <c r="B55" s="8" t="s">
        <v>127</v>
      </c>
      <c r="C55" s="9" t="s">
        <v>3</v>
      </c>
      <c r="D55" s="8" t="s">
        <v>544</v>
      </c>
      <c r="E55" s="10" t="s">
        <v>545</v>
      </c>
    </row>
    <row r="56" spans="1:5" ht="90" customHeight="1" x14ac:dyDescent="0.2">
      <c r="A56" s="8">
        <v>55</v>
      </c>
      <c r="B56" s="8" t="s">
        <v>128</v>
      </c>
      <c r="C56" s="9" t="s">
        <v>3</v>
      </c>
      <c r="D56" s="8" t="s">
        <v>546</v>
      </c>
      <c r="E56" s="10" t="s">
        <v>547</v>
      </c>
    </row>
    <row r="57" spans="1:5" ht="90" customHeight="1" x14ac:dyDescent="0.2">
      <c r="A57" s="8">
        <v>56</v>
      </c>
      <c r="B57" s="8" t="s">
        <v>129</v>
      </c>
      <c r="C57" s="9" t="s">
        <v>3</v>
      </c>
      <c r="D57" s="8" t="s">
        <v>548</v>
      </c>
      <c r="E57" s="10" t="s">
        <v>549</v>
      </c>
    </row>
    <row r="58" spans="1:5" ht="90" customHeight="1" x14ac:dyDescent="0.2">
      <c r="A58" s="8">
        <v>57</v>
      </c>
      <c r="B58" s="8" t="s">
        <v>130</v>
      </c>
      <c r="C58" s="9" t="s">
        <v>3</v>
      </c>
      <c r="D58" s="8" t="s">
        <v>550</v>
      </c>
      <c r="E58" s="10" t="s">
        <v>551</v>
      </c>
    </row>
    <row r="59" spans="1:5" ht="90" customHeight="1" x14ac:dyDescent="0.2">
      <c r="A59" s="8">
        <v>58</v>
      </c>
      <c r="B59" s="8" t="s">
        <v>132</v>
      </c>
      <c r="C59" s="9" t="s">
        <v>3</v>
      </c>
      <c r="D59" s="8" t="s">
        <v>552</v>
      </c>
      <c r="E59" s="10" t="s">
        <v>553</v>
      </c>
    </row>
    <row r="60" spans="1:5" ht="90" customHeight="1" x14ac:dyDescent="0.2">
      <c r="A60" s="8">
        <v>59</v>
      </c>
      <c r="B60" s="8" t="s">
        <v>134</v>
      </c>
      <c r="C60" s="9" t="s">
        <v>3</v>
      </c>
      <c r="D60" s="8" t="s">
        <v>554</v>
      </c>
      <c r="E60" s="10" t="s">
        <v>555</v>
      </c>
    </row>
    <row r="61" spans="1:5" ht="90" customHeight="1" x14ac:dyDescent="0.2">
      <c r="A61" s="8">
        <v>60</v>
      </c>
      <c r="B61" s="8" t="s">
        <v>135</v>
      </c>
      <c r="C61" s="9" t="s">
        <v>3</v>
      </c>
      <c r="D61" s="8" t="s">
        <v>486</v>
      </c>
      <c r="E61" s="10" t="s">
        <v>556</v>
      </c>
    </row>
    <row r="62" spans="1:5" ht="90" customHeight="1" x14ac:dyDescent="0.2">
      <c r="A62" s="8">
        <v>61</v>
      </c>
      <c r="B62" s="8" t="s">
        <v>137</v>
      </c>
      <c r="C62" s="9" t="s">
        <v>3</v>
      </c>
      <c r="D62" s="8" t="s">
        <v>446</v>
      </c>
      <c r="E62" s="10" t="s">
        <v>557</v>
      </c>
    </row>
    <row r="63" spans="1:5" ht="90" customHeight="1" x14ac:dyDescent="0.2">
      <c r="A63" s="8">
        <v>62</v>
      </c>
      <c r="B63" s="8" t="s">
        <v>139</v>
      </c>
      <c r="C63" s="9" t="s">
        <v>3</v>
      </c>
      <c r="D63" s="8" t="s">
        <v>558</v>
      </c>
      <c r="E63" s="10" t="s">
        <v>559</v>
      </c>
    </row>
    <row r="64" spans="1:5" ht="90" customHeight="1" x14ac:dyDescent="0.2">
      <c r="A64" s="8">
        <v>63</v>
      </c>
      <c r="B64" s="8" t="s">
        <v>141</v>
      </c>
      <c r="C64" s="9" t="s">
        <v>3</v>
      </c>
      <c r="D64" s="8" t="s">
        <v>560</v>
      </c>
      <c r="E64" s="10" t="s">
        <v>561</v>
      </c>
    </row>
    <row r="65" spans="1:5" ht="90" customHeight="1" x14ac:dyDescent="0.2">
      <c r="A65" s="8">
        <v>64</v>
      </c>
      <c r="B65" s="8" t="s">
        <v>142</v>
      </c>
      <c r="C65" s="9" t="s">
        <v>3</v>
      </c>
      <c r="D65" s="8" t="s">
        <v>562</v>
      </c>
      <c r="E65" s="10" t="s">
        <v>563</v>
      </c>
    </row>
    <row r="66" spans="1:5" ht="90" customHeight="1" x14ac:dyDescent="0.2">
      <c r="A66" s="8">
        <v>65</v>
      </c>
      <c r="B66" s="8" t="s">
        <v>144</v>
      </c>
      <c r="C66" s="9" t="s">
        <v>3</v>
      </c>
      <c r="D66" s="8" t="s">
        <v>564</v>
      </c>
      <c r="E66" s="10" t="s">
        <v>565</v>
      </c>
    </row>
    <row r="67" spans="1:5" ht="90" customHeight="1" x14ac:dyDescent="0.2">
      <c r="A67" s="8">
        <v>66</v>
      </c>
      <c r="B67" s="8" t="s">
        <v>145</v>
      </c>
      <c r="C67" s="9" t="s">
        <v>3</v>
      </c>
      <c r="D67" s="8" t="s">
        <v>458</v>
      </c>
      <c r="E67" s="10" t="s">
        <v>566</v>
      </c>
    </row>
    <row r="68" spans="1:5" ht="90" customHeight="1" x14ac:dyDescent="0.2">
      <c r="A68" s="8">
        <v>67</v>
      </c>
      <c r="B68" s="8" t="s">
        <v>146</v>
      </c>
      <c r="C68" s="9" t="s">
        <v>3</v>
      </c>
      <c r="D68" s="8" t="s">
        <v>567</v>
      </c>
      <c r="E68" s="10" t="s">
        <v>568</v>
      </c>
    </row>
    <row r="69" spans="1:5" ht="90" customHeight="1" x14ac:dyDescent="0.2">
      <c r="A69" s="8">
        <v>68</v>
      </c>
      <c r="B69" s="8" t="s">
        <v>147</v>
      </c>
      <c r="C69" s="9" t="s">
        <v>3</v>
      </c>
      <c r="D69" s="8" t="s">
        <v>569</v>
      </c>
      <c r="E69" s="10" t="s">
        <v>570</v>
      </c>
    </row>
    <row r="70" spans="1:5" ht="90" customHeight="1" x14ac:dyDescent="0.2">
      <c r="A70" s="8">
        <v>69</v>
      </c>
      <c r="B70" s="8" t="s">
        <v>149</v>
      </c>
      <c r="C70" s="9" t="s">
        <v>3</v>
      </c>
      <c r="D70" s="8" t="s">
        <v>571</v>
      </c>
      <c r="E70" s="10" t="s">
        <v>572</v>
      </c>
    </row>
    <row r="71" spans="1:5" ht="90" customHeight="1" x14ac:dyDescent="0.2">
      <c r="A71" s="8">
        <v>70</v>
      </c>
      <c r="B71" s="8" t="s">
        <v>151</v>
      </c>
      <c r="C71" s="9" t="s">
        <v>3</v>
      </c>
      <c r="D71" s="8" t="s">
        <v>573</v>
      </c>
      <c r="E71" s="10" t="s">
        <v>574</v>
      </c>
    </row>
    <row r="72" spans="1:5" ht="90" customHeight="1" x14ac:dyDescent="0.2">
      <c r="A72" s="8">
        <v>71</v>
      </c>
      <c r="B72" s="8" t="s">
        <v>153</v>
      </c>
      <c r="C72" s="9" t="s">
        <v>3</v>
      </c>
      <c r="D72" s="8" t="s">
        <v>575</v>
      </c>
      <c r="E72" s="10" t="s">
        <v>576</v>
      </c>
    </row>
    <row r="73" spans="1:5" ht="90" customHeight="1" x14ac:dyDescent="0.2">
      <c r="A73" s="8">
        <v>72</v>
      </c>
      <c r="B73" s="8" t="s">
        <v>155</v>
      </c>
      <c r="C73" s="9" t="s">
        <v>3</v>
      </c>
      <c r="D73" s="8" t="s">
        <v>577</v>
      </c>
      <c r="E73" s="10" t="s">
        <v>578</v>
      </c>
    </row>
    <row r="74" spans="1:5" ht="90" customHeight="1" x14ac:dyDescent="0.2">
      <c r="A74" s="8">
        <v>73</v>
      </c>
      <c r="B74" s="8" t="s">
        <v>157</v>
      </c>
      <c r="C74" s="9" t="s">
        <v>3</v>
      </c>
      <c r="D74" s="8" t="s">
        <v>579</v>
      </c>
      <c r="E74" s="10" t="s">
        <v>580</v>
      </c>
    </row>
    <row r="75" spans="1:5" ht="90" customHeight="1" x14ac:dyDescent="0.2">
      <c r="A75" s="8">
        <v>74</v>
      </c>
      <c r="B75" s="8" t="s">
        <v>158</v>
      </c>
      <c r="C75" s="9" t="s">
        <v>3</v>
      </c>
      <c r="D75" s="8" t="s">
        <v>581</v>
      </c>
      <c r="E75" s="10" t="s">
        <v>582</v>
      </c>
    </row>
    <row r="76" spans="1:5" ht="90" customHeight="1" x14ac:dyDescent="0.2">
      <c r="A76" s="8">
        <v>75</v>
      </c>
      <c r="B76" s="8" t="s">
        <v>159</v>
      </c>
      <c r="C76" s="9" t="s">
        <v>3</v>
      </c>
      <c r="D76" s="8" t="s">
        <v>583</v>
      </c>
      <c r="E76" s="10" t="s">
        <v>584</v>
      </c>
    </row>
    <row r="77" spans="1:5" ht="90" customHeight="1" x14ac:dyDescent="0.2">
      <c r="A77" s="8">
        <v>76</v>
      </c>
      <c r="B77" s="8" t="s">
        <v>161</v>
      </c>
      <c r="C77" s="9" t="s">
        <v>3</v>
      </c>
      <c r="D77" s="8" t="s">
        <v>585</v>
      </c>
      <c r="E77" s="10" t="s">
        <v>586</v>
      </c>
    </row>
    <row r="78" spans="1:5" ht="90" customHeight="1" x14ac:dyDescent="0.2">
      <c r="A78" s="8">
        <v>77</v>
      </c>
      <c r="B78" s="8" t="s">
        <v>162</v>
      </c>
      <c r="C78" s="9" t="s">
        <v>3</v>
      </c>
      <c r="D78" s="8" t="s">
        <v>587</v>
      </c>
      <c r="E78" s="10" t="s">
        <v>588</v>
      </c>
    </row>
    <row r="79" spans="1:5" ht="90" customHeight="1" x14ac:dyDescent="0.2">
      <c r="A79" s="8">
        <v>78</v>
      </c>
      <c r="B79" s="8" t="s">
        <v>163</v>
      </c>
      <c r="C79" s="9" t="s">
        <v>3</v>
      </c>
      <c r="D79" s="8" t="s">
        <v>589</v>
      </c>
      <c r="E79" s="10" t="s">
        <v>590</v>
      </c>
    </row>
    <row r="80" spans="1:5" ht="90" customHeight="1" x14ac:dyDescent="0.2">
      <c r="A80" s="8">
        <v>79</v>
      </c>
      <c r="B80" s="8" t="s">
        <v>164</v>
      </c>
      <c r="C80" s="9" t="s">
        <v>3</v>
      </c>
      <c r="D80" s="8" t="s">
        <v>591</v>
      </c>
      <c r="E80" s="10" t="s">
        <v>592</v>
      </c>
    </row>
    <row r="81" spans="1:5" ht="90" customHeight="1" x14ac:dyDescent="0.2">
      <c r="A81" s="8">
        <v>80</v>
      </c>
      <c r="B81" s="8" t="s">
        <v>166</v>
      </c>
      <c r="C81" s="9" t="s">
        <v>3</v>
      </c>
      <c r="D81" s="8" t="s">
        <v>593</v>
      </c>
      <c r="E81" s="10" t="s">
        <v>594</v>
      </c>
    </row>
    <row r="82" spans="1:5" ht="90" customHeight="1" x14ac:dyDescent="0.2">
      <c r="A82" s="8">
        <v>81</v>
      </c>
      <c r="B82" s="8" t="s">
        <v>167</v>
      </c>
      <c r="C82" s="9" t="s">
        <v>3</v>
      </c>
      <c r="D82" s="8" t="s">
        <v>470</v>
      </c>
      <c r="E82" s="10" t="s">
        <v>595</v>
      </c>
    </row>
    <row r="83" spans="1:5" ht="90" customHeight="1" x14ac:dyDescent="0.2">
      <c r="A83" s="8">
        <v>82</v>
      </c>
      <c r="B83" s="8" t="s">
        <v>168</v>
      </c>
      <c r="C83" s="9" t="s">
        <v>3</v>
      </c>
      <c r="D83" s="8" t="s">
        <v>596</v>
      </c>
      <c r="E83" s="10" t="s">
        <v>597</v>
      </c>
    </row>
    <row r="84" spans="1:5" ht="90" customHeight="1" x14ac:dyDescent="0.2">
      <c r="A84" s="8">
        <v>83</v>
      </c>
      <c r="B84" s="8" t="s">
        <v>170</v>
      </c>
      <c r="C84" s="9" t="s">
        <v>3</v>
      </c>
      <c r="D84" s="8" t="s">
        <v>598</v>
      </c>
      <c r="E84" s="10" t="s">
        <v>599</v>
      </c>
    </row>
    <row r="85" spans="1:5" ht="90" customHeight="1" x14ac:dyDescent="0.2">
      <c r="A85" s="8">
        <v>84</v>
      </c>
      <c r="B85" s="8" t="s">
        <v>171</v>
      </c>
      <c r="C85" s="9" t="s">
        <v>3</v>
      </c>
      <c r="D85" s="8" t="s">
        <v>600</v>
      </c>
      <c r="E85" s="10" t="s">
        <v>601</v>
      </c>
    </row>
    <row r="86" spans="1:5" ht="90" customHeight="1" x14ac:dyDescent="0.2">
      <c r="A86" s="8">
        <v>85</v>
      </c>
      <c r="B86" s="8" t="s">
        <v>173</v>
      </c>
      <c r="C86" s="9" t="s">
        <v>3</v>
      </c>
      <c r="D86" s="8" t="s">
        <v>482</v>
      </c>
      <c r="E86" s="10" t="s">
        <v>602</v>
      </c>
    </row>
    <row r="87" spans="1:5" ht="90" customHeight="1" x14ac:dyDescent="0.2">
      <c r="A87" s="8">
        <v>86</v>
      </c>
      <c r="B87" s="8" t="s">
        <v>174</v>
      </c>
      <c r="C87" s="9" t="s">
        <v>3</v>
      </c>
      <c r="D87" s="8" t="s">
        <v>603</v>
      </c>
      <c r="E87" s="10" t="s">
        <v>604</v>
      </c>
    </row>
    <row r="88" spans="1:5" ht="90" customHeight="1" x14ac:dyDescent="0.2">
      <c r="A88" s="8">
        <v>87</v>
      </c>
      <c r="B88" s="8" t="s">
        <v>175</v>
      </c>
      <c r="C88" s="9" t="s">
        <v>3</v>
      </c>
      <c r="D88" s="8" t="s">
        <v>605</v>
      </c>
      <c r="E88" s="10" t="s">
        <v>606</v>
      </c>
    </row>
    <row r="89" spans="1:5" ht="90" customHeight="1" x14ac:dyDescent="0.2">
      <c r="A89" s="8">
        <v>88</v>
      </c>
      <c r="B89" s="8" t="s">
        <v>176</v>
      </c>
      <c r="C89" s="9" t="s">
        <v>3</v>
      </c>
      <c r="D89" s="8" t="s">
        <v>607</v>
      </c>
      <c r="E89" s="10" t="s">
        <v>608</v>
      </c>
    </row>
    <row r="90" spans="1:5" ht="90" customHeight="1" x14ac:dyDescent="0.2">
      <c r="A90" s="8">
        <v>89</v>
      </c>
      <c r="B90" s="8" t="s">
        <v>177</v>
      </c>
      <c r="C90" s="9" t="s">
        <v>3</v>
      </c>
      <c r="D90" s="8" t="s">
        <v>609</v>
      </c>
      <c r="E90" s="10" t="s">
        <v>610</v>
      </c>
    </row>
    <row r="91" spans="1:5" ht="90" customHeight="1" x14ac:dyDescent="0.2">
      <c r="A91" s="8">
        <v>90</v>
      </c>
      <c r="B91" s="8" t="s">
        <v>178</v>
      </c>
      <c r="C91" s="9" t="s">
        <v>3</v>
      </c>
      <c r="D91" s="8" t="s">
        <v>611</v>
      </c>
      <c r="E91" s="10" t="s">
        <v>612</v>
      </c>
    </row>
    <row r="92" spans="1:5" ht="90" customHeight="1" x14ac:dyDescent="0.2">
      <c r="A92" s="8">
        <v>91</v>
      </c>
      <c r="B92" s="8" t="s">
        <v>180</v>
      </c>
      <c r="C92" s="9" t="s">
        <v>3</v>
      </c>
      <c r="D92" s="8" t="s">
        <v>613</v>
      </c>
      <c r="E92" s="10" t="s">
        <v>614</v>
      </c>
    </row>
    <row r="93" spans="1:5" ht="90" customHeight="1" x14ac:dyDescent="0.2">
      <c r="A93" s="8">
        <v>92</v>
      </c>
      <c r="B93" s="8" t="s">
        <v>182</v>
      </c>
      <c r="C93" s="9" t="s">
        <v>3</v>
      </c>
      <c r="D93" s="8" t="s">
        <v>615</v>
      </c>
      <c r="E93" s="10" t="s">
        <v>616</v>
      </c>
    </row>
    <row r="94" spans="1:5" ht="90" customHeight="1" x14ac:dyDescent="0.2">
      <c r="A94" s="8">
        <v>93</v>
      </c>
      <c r="B94" s="8" t="s">
        <v>183</v>
      </c>
      <c r="C94" s="9" t="s">
        <v>3</v>
      </c>
      <c r="D94" s="8" t="s">
        <v>617</v>
      </c>
      <c r="E94" s="10" t="s">
        <v>618</v>
      </c>
    </row>
    <row r="95" spans="1:5" ht="90" customHeight="1" x14ac:dyDescent="0.2">
      <c r="A95" s="8">
        <v>94</v>
      </c>
      <c r="B95" s="8" t="s">
        <v>185</v>
      </c>
      <c r="C95" s="9" t="s">
        <v>3</v>
      </c>
      <c r="D95" s="8" t="s">
        <v>619</v>
      </c>
      <c r="E95" s="10" t="s">
        <v>620</v>
      </c>
    </row>
    <row r="96" spans="1:5" ht="90" customHeight="1" x14ac:dyDescent="0.2">
      <c r="A96" s="8">
        <v>95</v>
      </c>
      <c r="B96" s="8" t="s">
        <v>186</v>
      </c>
      <c r="C96" s="9" t="s">
        <v>3</v>
      </c>
      <c r="D96" s="8" t="s">
        <v>621</v>
      </c>
      <c r="E96" s="10" t="s">
        <v>622</v>
      </c>
    </row>
    <row r="97" spans="1:5" ht="90" customHeight="1" x14ac:dyDescent="0.2">
      <c r="A97" s="8">
        <v>96</v>
      </c>
      <c r="B97" s="8" t="s">
        <v>188</v>
      </c>
      <c r="C97" s="9" t="s">
        <v>3</v>
      </c>
      <c r="D97" s="8" t="s">
        <v>623</v>
      </c>
      <c r="E97" s="10" t="s">
        <v>624</v>
      </c>
    </row>
    <row r="98" spans="1:5" ht="90" customHeight="1" x14ac:dyDescent="0.2">
      <c r="A98" s="8">
        <v>97</v>
      </c>
      <c r="B98" s="8" t="s">
        <v>189</v>
      </c>
      <c r="C98" s="9" t="s">
        <v>3</v>
      </c>
      <c r="D98" s="8" t="s">
        <v>625</v>
      </c>
      <c r="E98" s="10" t="s">
        <v>626</v>
      </c>
    </row>
    <row r="99" spans="1:5" ht="90" customHeight="1" x14ac:dyDescent="0.2">
      <c r="A99" s="8">
        <v>98</v>
      </c>
      <c r="B99" s="8" t="s">
        <v>190</v>
      </c>
      <c r="C99" s="9" t="s">
        <v>3</v>
      </c>
      <c r="D99" s="8" t="s">
        <v>627</v>
      </c>
      <c r="E99" s="10" t="s">
        <v>628</v>
      </c>
    </row>
    <row r="100" spans="1:5" ht="90" customHeight="1" x14ac:dyDescent="0.2">
      <c r="A100" s="8">
        <v>99</v>
      </c>
      <c r="B100" s="8" t="s">
        <v>192</v>
      </c>
      <c r="C100" s="9" t="s">
        <v>3</v>
      </c>
      <c r="D100" s="8" t="s">
        <v>629</v>
      </c>
      <c r="E100" s="10" t="s">
        <v>630</v>
      </c>
    </row>
    <row r="101" spans="1:5" ht="90" customHeight="1" x14ac:dyDescent="0.2">
      <c r="A101" s="8">
        <v>100</v>
      </c>
      <c r="B101" s="8" t="s">
        <v>193</v>
      </c>
      <c r="C101" s="9" t="s">
        <v>3</v>
      </c>
      <c r="D101" s="8" t="s">
        <v>631</v>
      </c>
      <c r="E101" s="10" t="s">
        <v>632</v>
      </c>
    </row>
    <row r="102" spans="1:5" ht="90" customHeight="1" x14ac:dyDescent="0.2">
      <c r="A102" s="8">
        <v>101</v>
      </c>
      <c r="B102" s="8" t="s">
        <v>195</v>
      </c>
      <c r="C102" s="9" t="s">
        <v>3</v>
      </c>
      <c r="D102" s="8" t="s">
        <v>633</v>
      </c>
      <c r="E102" s="10" t="s">
        <v>634</v>
      </c>
    </row>
    <row r="103" spans="1:5" ht="90" customHeight="1" x14ac:dyDescent="0.2">
      <c r="A103" s="8">
        <v>102</v>
      </c>
      <c r="B103" s="8" t="s">
        <v>196</v>
      </c>
      <c r="C103" s="9" t="s">
        <v>3</v>
      </c>
      <c r="D103" s="8" t="s">
        <v>635</v>
      </c>
      <c r="E103" s="10" t="s">
        <v>636</v>
      </c>
    </row>
    <row r="104" spans="1:5" ht="90" customHeight="1" x14ac:dyDescent="0.2">
      <c r="A104" s="8">
        <v>103</v>
      </c>
      <c r="B104" s="8" t="s">
        <v>198</v>
      </c>
      <c r="C104" s="9" t="s">
        <v>3</v>
      </c>
      <c r="D104" s="8" t="s">
        <v>593</v>
      </c>
      <c r="E104" s="10" t="s">
        <v>637</v>
      </c>
    </row>
    <row r="105" spans="1:5" ht="90" customHeight="1" x14ac:dyDescent="0.2">
      <c r="A105" s="8">
        <v>104</v>
      </c>
      <c r="B105" s="8" t="s">
        <v>199</v>
      </c>
      <c r="C105" s="9" t="s">
        <v>3</v>
      </c>
      <c r="D105" s="8" t="s">
        <v>638</v>
      </c>
      <c r="E105" s="10" t="s">
        <v>639</v>
      </c>
    </row>
    <row r="106" spans="1:5" ht="90" customHeight="1" x14ac:dyDescent="0.2">
      <c r="A106" s="8">
        <v>105</v>
      </c>
      <c r="B106" s="8" t="s">
        <v>200</v>
      </c>
      <c r="C106" s="9" t="s">
        <v>3</v>
      </c>
      <c r="D106" s="8" t="s">
        <v>640</v>
      </c>
      <c r="E106" s="10" t="s">
        <v>641</v>
      </c>
    </row>
    <row r="107" spans="1:5" ht="90" customHeight="1" x14ac:dyDescent="0.2">
      <c r="A107" s="8">
        <v>106</v>
      </c>
      <c r="B107" s="8" t="s">
        <v>201</v>
      </c>
      <c r="C107" s="9" t="s">
        <v>3</v>
      </c>
      <c r="D107" s="8" t="s">
        <v>642</v>
      </c>
      <c r="E107" s="10" t="s">
        <v>643</v>
      </c>
    </row>
    <row r="108" spans="1:5" ht="90" customHeight="1" x14ac:dyDescent="0.2">
      <c r="A108" s="8">
        <v>107</v>
      </c>
      <c r="B108" s="8" t="s">
        <v>202</v>
      </c>
      <c r="C108" s="9" t="s">
        <v>3</v>
      </c>
      <c r="D108" s="8" t="s">
        <v>644</v>
      </c>
      <c r="E108" s="10" t="s">
        <v>645</v>
      </c>
    </row>
    <row r="109" spans="1:5" ht="90" customHeight="1" x14ac:dyDescent="0.2">
      <c r="A109" s="8">
        <v>108</v>
      </c>
      <c r="B109" s="8" t="s">
        <v>203</v>
      </c>
      <c r="C109" s="9" t="s">
        <v>3</v>
      </c>
      <c r="D109" s="8" t="s">
        <v>646</v>
      </c>
      <c r="E109" s="10" t="s">
        <v>647</v>
      </c>
    </row>
    <row r="110" spans="1:5" ht="90" customHeight="1" x14ac:dyDescent="0.2">
      <c r="A110" s="8">
        <v>109</v>
      </c>
      <c r="B110" s="8" t="s">
        <v>206</v>
      </c>
      <c r="C110" s="9" t="s">
        <v>3</v>
      </c>
      <c r="D110" s="8" t="s">
        <v>648</v>
      </c>
      <c r="E110" s="10" t="s">
        <v>649</v>
      </c>
    </row>
    <row r="111" spans="1:5" ht="90" customHeight="1" x14ac:dyDescent="0.2">
      <c r="A111" s="8">
        <v>110</v>
      </c>
      <c r="B111" s="8" t="s">
        <v>208</v>
      </c>
      <c r="C111" s="9" t="s">
        <v>3</v>
      </c>
      <c r="D111" s="8" t="s">
        <v>650</v>
      </c>
      <c r="E111" s="10" t="s">
        <v>651</v>
      </c>
    </row>
    <row r="112" spans="1:5" ht="90" customHeight="1" x14ac:dyDescent="0.2">
      <c r="A112" s="8">
        <v>111</v>
      </c>
      <c r="B112" s="8" t="s">
        <v>209</v>
      </c>
      <c r="C112" s="9" t="s">
        <v>3</v>
      </c>
      <c r="D112" s="8" t="s">
        <v>652</v>
      </c>
      <c r="E112" s="10" t="s">
        <v>653</v>
      </c>
    </row>
    <row r="113" spans="1:5" ht="90" customHeight="1" x14ac:dyDescent="0.2">
      <c r="A113" s="8">
        <v>112</v>
      </c>
      <c r="B113" s="8" t="s">
        <v>210</v>
      </c>
      <c r="C113" s="11" t="s">
        <v>4</v>
      </c>
      <c r="D113" s="8" t="s">
        <v>654</v>
      </c>
      <c r="E113" s="10" t="s">
        <v>655</v>
      </c>
    </row>
    <row r="114" spans="1:5" ht="90" customHeight="1" x14ac:dyDescent="0.2">
      <c r="A114" s="8">
        <v>113</v>
      </c>
      <c r="B114" s="8" t="s">
        <v>211</v>
      </c>
      <c r="C114" s="11" t="s">
        <v>4</v>
      </c>
      <c r="D114" s="8" t="s">
        <v>656</v>
      </c>
      <c r="E114" s="10" t="s">
        <v>657</v>
      </c>
    </row>
    <row r="115" spans="1:5" ht="90" customHeight="1" x14ac:dyDescent="0.2">
      <c r="A115" s="8">
        <v>114</v>
      </c>
      <c r="B115" s="8" t="s">
        <v>212</v>
      </c>
      <c r="C115" s="11" t="s">
        <v>4</v>
      </c>
      <c r="D115" s="8" t="s">
        <v>484</v>
      </c>
      <c r="E115" s="10" t="s">
        <v>658</v>
      </c>
    </row>
    <row r="116" spans="1:5" ht="90" customHeight="1" x14ac:dyDescent="0.2">
      <c r="A116" s="8">
        <v>115</v>
      </c>
      <c r="B116" s="8" t="s">
        <v>213</v>
      </c>
      <c r="C116" s="11" t="s">
        <v>4</v>
      </c>
      <c r="D116" s="8" t="s">
        <v>659</v>
      </c>
      <c r="E116" s="10" t="s">
        <v>660</v>
      </c>
    </row>
    <row r="117" spans="1:5" ht="90" customHeight="1" x14ac:dyDescent="0.2">
      <c r="A117" s="8">
        <v>116</v>
      </c>
      <c r="B117" s="8" t="s">
        <v>214</v>
      </c>
      <c r="C117" s="11" t="s">
        <v>4</v>
      </c>
      <c r="D117" s="8" t="s">
        <v>625</v>
      </c>
      <c r="E117" s="10" t="s">
        <v>661</v>
      </c>
    </row>
    <row r="118" spans="1:5" ht="90" customHeight="1" x14ac:dyDescent="0.2">
      <c r="A118" s="8">
        <v>117</v>
      </c>
      <c r="B118" s="8" t="s">
        <v>216</v>
      </c>
      <c r="C118" s="11" t="s">
        <v>4</v>
      </c>
      <c r="D118" s="8" t="s">
        <v>458</v>
      </c>
      <c r="E118" s="10" t="s">
        <v>662</v>
      </c>
    </row>
    <row r="119" spans="1:5" ht="90" customHeight="1" x14ac:dyDescent="0.2">
      <c r="A119" s="8">
        <v>118</v>
      </c>
      <c r="B119" s="8" t="s">
        <v>217</v>
      </c>
      <c r="C119" s="11" t="s">
        <v>4</v>
      </c>
      <c r="D119" s="8" t="s">
        <v>603</v>
      </c>
      <c r="E119" s="10" t="s">
        <v>663</v>
      </c>
    </row>
    <row r="120" spans="1:5" ht="90" customHeight="1" x14ac:dyDescent="0.2">
      <c r="A120" s="8">
        <v>119</v>
      </c>
      <c r="B120" s="8" t="s">
        <v>219</v>
      </c>
      <c r="C120" s="11" t="s">
        <v>4</v>
      </c>
      <c r="D120" s="8" t="s">
        <v>664</v>
      </c>
      <c r="E120" s="10" t="s">
        <v>665</v>
      </c>
    </row>
    <row r="121" spans="1:5" ht="90" customHeight="1" x14ac:dyDescent="0.2">
      <c r="A121" s="8">
        <v>120</v>
      </c>
      <c r="B121" s="8" t="s">
        <v>221</v>
      </c>
      <c r="C121" s="11" t="s">
        <v>4</v>
      </c>
      <c r="D121" s="8" t="s">
        <v>666</v>
      </c>
      <c r="E121" s="10" t="s">
        <v>667</v>
      </c>
    </row>
    <row r="122" spans="1:5" ht="90" customHeight="1" x14ac:dyDescent="0.2">
      <c r="A122" s="8">
        <v>121</v>
      </c>
      <c r="B122" s="8" t="s">
        <v>222</v>
      </c>
      <c r="C122" s="11" t="s">
        <v>4</v>
      </c>
      <c r="D122" s="8" t="s">
        <v>668</v>
      </c>
      <c r="E122" s="10" t="s">
        <v>669</v>
      </c>
    </row>
    <row r="123" spans="1:5" ht="90" customHeight="1" x14ac:dyDescent="0.2">
      <c r="A123" s="8">
        <v>122</v>
      </c>
      <c r="B123" s="8" t="s">
        <v>224</v>
      </c>
      <c r="C123" s="11" t="s">
        <v>4</v>
      </c>
      <c r="D123" s="8" t="s">
        <v>670</v>
      </c>
      <c r="E123" s="10" t="s">
        <v>671</v>
      </c>
    </row>
    <row r="124" spans="1:5" ht="90" customHeight="1" x14ac:dyDescent="0.2">
      <c r="A124" s="8">
        <v>123</v>
      </c>
      <c r="B124" s="8" t="s">
        <v>225</v>
      </c>
      <c r="C124" s="11" t="s">
        <v>4</v>
      </c>
      <c r="D124" s="8" t="s">
        <v>672</v>
      </c>
      <c r="E124" s="10" t="s">
        <v>673</v>
      </c>
    </row>
    <row r="125" spans="1:5" ht="90" customHeight="1" x14ac:dyDescent="0.2">
      <c r="A125" s="8">
        <v>124</v>
      </c>
      <c r="B125" s="8" t="s">
        <v>227</v>
      </c>
      <c r="C125" s="11" t="s">
        <v>4</v>
      </c>
      <c r="D125" s="8" t="s">
        <v>486</v>
      </c>
      <c r="E125" s="10" t="s">
        <v>674</v>
      </c>
    </row>
    <row r="126" spans="1:5" ht="90" customHeight="1" x14ac:dyDescent="0.2">
      <c r="A126" s="8">
        <v>125</v>
      </c>
      <c r="B126" s="8" t="s">
        <v>228</v>
      </c>
      <c r="C126" s="11" t="s">
        <v>4</v>
      </c>
      <c r="D126" s="8" t="s">
        <v>675</v>
      </c>
      <c r="E126" s="10" t="s">
        <v>676</v>
      </c>
    </row>
    <row r="127" spans="1:5" ht="90" customHeight="1" x14ac:dyDescent="0.2">
      <c r="A127" s="8">
        <v>126</v>
      </c>
      <c r="B127" s="8" t="s">
        <v>229</v>
      </c>
      <c r="C127" s="11" t="s">
        <v>4</v>
      </c>
      <c r="D127" s="8" t="s">
        <v>677</v>
      </c>
      <c r="E127" s="10" t="s">
        <v>678</v>
      </c>
    </row>
    <row r="128" spans="1:5" ht="90" customHeight="1" x14ac:dyDescent="0.2">
      <c r="A128" s="8">
        <v>127</v>
      </c>
      <c r="B128" s="8" t="s">
        <v>230</v>
      </c>
      <c r="C128" s="11" t="s">
        <v>4</v>
      </c>
      <c r="D128" s="8" t="s">
        <v>679</v>
      </c>
      <c r="E128" s="10" t="s">
        <v>680</v>
      </c>
    </row>
    <row r="129" spans="1:5" ht="90" customHeight="1" x14ac:dyDescent="0.2">
      <c r="A129" s="8">
        <v>128</v>
      </c>
      <c r="B129" s="8" t="s">
        <v>232</v>
      </c>
      <c r="C129" s="11" t="s">
        <v>4</v>
      </c>
      <c r="D129" s="8" t="s">
        <v>681</v>
      </c>
      <c r="E129" s="10" t="s">
        <v>682</v>
      </c>
    </row>
    <row r="130" spans="1:5" ht="90" customHeight="1" x14ac:dyDescent="0.2">
      <c r="A130" s="8">
        <v>129</v>
      </c>
      <c r="B130" s="8" t="s">
        <v>234</v>
      </c>
      <c r="C130" s="11" t="s">
        <v>4</v>
      </c>
      <c r="D130" s="8" t="s">
        <v>683</v>
      </c>
      <c r="E130" s="10" t="s">
        <v>684</v>
      </c>
    </row>
    <row r="131" spans="1:5" ht="90" customHeight="1" x14ac:dyDescent="0.2">
      <c r="A131" s="8">
        <v>130</v>
      </c>
      <c r="B131" s="8" t="s">
        <v>235</v>
      </c>
      <c r="C131" s="11" t="s">
        <v>4</v>
      </c>
      <c r="D131" s="8" t="s">
        <v>685</v>
      </c>
      <c r="E131" s="10" t="s">
        <v>686</v>
      </c>
    </row>
    <row r="132" spans="1:5" ht="90" customHeight="1" x14ac:dyDescent="0.2">
      <c r="A132" s="8">
        <v>131</v>
      </c>
      <c r="B132" s="8" t="s">
        <v>236</v>
      </c>
      <c r="C132" s="11" t="s">
        <v>4</v>
      </c>
      <c r="D132" s="8" t="s">
        <v>496</v>
      </c>
      <c r="E132" s="10" t="s">
        <v>687</v>
      </c>
    </row>
    <row r="133" spans="1:5" ht="90" customHeight="1" x14ac:dyDescent="0.2">
      <c r="A133" s="8">
        <v>132</v>
      </c>
      <c r="B133" s="8" t="s">
        <v>237</v>
      </c>
      <c r="C133" s="11" t="s">
        <v>4</v>
      </c>
      <c r="D133" s="8" t="s">
        <v>688</v>
      </c>
      <c r="E133" s="10" t="s">
        <v>689</v>
      </c>
    </row>
    <row r="134" spans="1:5" ht="90" customHeight="1" x14ac:dyDescent="0.2">
      <c r="A134" s="8">
        <v>133</v>
      </c>
      <c r="B134" s="8" t="s">
        <v>238</v>
      </c>
      <c r="C134" s="11" t="s">
        <v>4</v>
      </c>
      <c r="D134" s="8" t="s">
        <v>446</v>
      </c>
      <c r="E134" s="10" t="s">
        <v>690</v>
      </c>
    </row>
    <row r="135" spans="1:5" ht="90" customHeight="1" x14ac:dyDescent="0.2">
      <c r="A135" s="8">
        <v>134</v>
      </c>
      <c r="B135" s="8" t="s">
        <v>239</v>
      </c>
      <c r="C135" s="11" t="s">
        <v>4</v>
      </c>
      <c r="D135" s="8" t="s">
        <v>691</v>
      </c>
      <c r="E135" s="10" t="s">
        <v>692</v>
      </c>
    </row>
    <row r="136" spans="1:5" ht="90" customHeight="1" x14ac:dyDescent="0.2">
      <c r="A136" s="8">
        <v>135</v>
      </c>
      <c r="B136" s="8" t="s">
        <v>240</v>
      </c>
      <c r="C136" s="11" t="s">
        <v>4</v>
      </c>
      <c r="D136" s="8" t="s">
        <v>693</v>
      </c>
      <c r="E136" s="10" t="s">
        <v>694</v>
      </c>
    </row>
    <row r="137" spans="1:5" ht="90" customHeight="1" x14ac:dyDescent="0.2">
      <c r="A137" s="8">
        <v>136</v>
      </c>
      <c r="B137" s="8" t="s">
        <v>241</v>
      </c>
      <c r="C137" s="11" t="s">
        <v>4</v>
      </c>
      <c r="D137" s="8" t="s">
        <v>695</v>
      </c>
      <c r="E137" s="10" t="s">
        <v>696</v>
      </c>
    </row>
    <row r="138" spans="1:5" ht="90" customHeight="1" x14ac:dyDescent="0.2">
      <c r="A138" s="8">
        <v>137</v>
      </c>
      <c r="B138" s="8" t="s">
        <v>242</v>
      </c>
      <c r="C138" s="11" t="s">
        <v>4</v>
      </c>
      <c r="D138" s="8" t="s">
        <v>697</v>
      </c>
      <c r="E138" s="10" t="s">
        <v>698</v>
      </c>
    </row>
    <row r="139" spans="1:5" ht="90" customHeight="1" x14ac:dyDescent="0.2">
      <c r="A139" s="8">
        <v>138</v>
      </c>
      <c r="B139" s="8" t="s">
        <v>243</v>
      </c>
      <c r="C139" s="11" t="s">
        <v>4</v>
      </c>
      <c r="D139" s="8" t="s">
        <v>699</v>
      </c>
      <c r="E139" s="10" t="s">
        <v>700</v>
      </c>
    </row>
    <row r="140" spans="1:5" ht="90" customHeight="1" x14ac:dyDescent="0.2">
      <c r="A140" s="8">
        <v>139</v>
      </c>
      <c r="B140" s="8" t="s">
        <v>244</v>
      </c>
      <c r="C140" s="11" t="s">
        <v>4</v>
      </c>
      <c r="D140" s="8" t="s">
        <v>701</v>
      </c>
      <c r="E140" s="10" t="s">
        <v>702</v>
      </c>
    </row>
    <row r="141" spans="1:5" ht="90" customHeight="1" x14ac:dyDescent="0.2">
      <c r="A141" s="8">
        <v>140</v>
      </c>
      <c r="B141" s="8" t="s">
        <v>245</v>
      </c>
      <c r="C141" s="11" t="s">
        <v>4</v>
      </c>
      <c r="D141" s="8" t="s">
        <v>703</v>
      </c>
      <c r="E141" s="10" t="s">
        <v>704</v>
      </c>
    </row>
    <row r="142" spans="1:5" ht="90" customHeight="1" x14ac:dyDescent="0.2">
      <c r="A142" s="8">
        <v>141</v>
      </c>
      <c r="B142" s="8" t="s">
        <v>246</v>
      </c>
      <c r="C142" s="11" t="s">
        <v>4</v>
      </c>
      <c r="D142" s="8" t="s">
        <v>705</v>
      </c>
      <c r="E142" s="10" t="s">
        <v>706</v>
      </c>
    </row>
    <row r="143" spans="1:5" ht="90" customHeight="1" x14ac:dyDescent="0.2">
      <c r="A143" s="8">
        <v>142</v>
      </c>
      <c r="B143" s="8" t="s">
        <v>247</v>
      </c>
      <c r="C143" s="11" t="s">
        <v>4</v>
      </c>
      <c r="D143" s="8" t="s">
        <v>707</v>
      </c>
      <c r="E143" s="10" t="s">
        <v>708</v>
      </c>
    </row>
    <row r="144" spans="1:5" ht="90" customHeight="1" x14ac:dyDescent="0.2">
      <c r="A144" s="8">
        <v>143</v>
      </c>
      <c r="B144" s="8" t="s">
        <v>248</v>
      </c>
      <c r="C144" s="11" t="s">
        <v>4</v>
      </c>
      <c r="D144" s="8" t="s">
        <v>709</v>
      </c>
      <c r="E144" s="10" t="s">
        <v>710</v>
      </c>
    </row>
    <row r="145" spans="1:5" ht="90" customHeight="1" x14ac:dyDescent="0.2">
      <c r="A145" s="8">
        <v>144</v>
      </c>
      <c r="B145" s="8" t="s">
        <v>250</v>
      </c>
      <c r="C145" s="11" t="s">
        <v>4</v>
      </c>
      <c r="D145" s="8" t="s">
        <v>711</v>
      </c>
      <c r="E145" s="10" t="s">
        <v>712</v>
      </c>
    </row>
    <row r="146" spans="1:5" ht="90" customHeight="1" x14ac:dyDescent="0.2">
      <c r="A146" s="8">
        <v>145</v>
      </c>
      <c r="B146" s="8" t="s">
        <v>251</v>
      </c>
      <c r="C146" s="11" t="s">
        <v>4</v>
      </c>
      <c r="D146" s="8" t="s">
        <v>713</v>
      </c>
      <c r="E146" s="10" t="s">
        <v>714</v>
      </c>
    </row>
    <row r="147" spans="1:5" ht="90" customHeight="1" x14ac:dyDescent="0.2">
      <c r="A147" s="8">
        <v>146</v>
      </c>
      <c r="B147" s="8" t="s">
        <v>252</v>
      </c>
      <c r="C147" s="11" t="s">
        <v>4</v>
      </c>
      <c r="D147" s="8" t="s">
        <v>715</v>
      </c>
      <c r="E147" s="10" t="s">
        <v>716</v>
      </c>
    </row>
    <row r="148" spans="1:5" ht="90" customHeight="1" x14ac:dyDescent="0.2">
      <c r="A148" s="8">
        <v>147</v>
      </c>
      <c r="B148" s="8" t="s">
        <v>253</v>
      </c>
      <c r="C148" s="11" t="s">
        <v>4</v>
      </c>
      <c r="D148" s="8" t="s">
        <v>526</v>
      </c>
      <c r="E148" s="10" t="s">
        <v>717</v>
      </c>
    </row>
    <row r="149" spans="1:5" ht="90" customHeight="1" x14ac:dyDescent="0.2">
      <c r="A149" s="8">
        <v>148</v>
      </c>
      <c r="B149" s="8" t="s">
        <v>255</v>
      </c>
      <c r="C149" s="11" t="s">
        <v>4</v>
      </c>
      <c r="D149" s="8" t="s">
        <v>718</v>
      </c>
      <c r="E149" s="10" t="s">
        <v>719</v>
      </c>
    </row>
    <row r="150" spans="1:5" ht="90" customHeight="1" x14ac:dyDescent="0.2">
      <c r="A150" s="8">
        <v>149</v>
      </c>
      <c r="B150" s="8" t="s">
        <v>256</v>
      </c>
      <c r="C150" s="11" t="s">
        <v>4</v>
      </c>
      <c r="D150" s="8" t="s">
        <v>540</v>
      </c>
      <c r="E150" s="10" t="s">
        <v>541</v>
      </c>
    </row>
    <row r="151" spans="1:5" ht="90" customHeight="1" x14ac:dyDescent="0.2">
      <c r="A151" s="8">
        <v>150</v>
      </c>
      <c r="B151" s="8" t="s">
        <v>258</v>
      </c>
      <c r="C151" s="11" t="s">
        <v>4</v>
      </c>
      <c r="D151" s="8" t="s">
        <v>603</v>
      </c>
      <c r="E151" s="10" t="s">
        <v>720</v>
      </c>
    </row>
    <row r="152" spans="1:5" ht="90" customHeight="1" x14ac:dyDescent="0.2">
      <c r="A152" s="8">
        <v>151</v>
      </c>
      <c r="B152" s="8" t="s">
        <v>260</v>
      </c>
      <c r="C152" s="11" t="s">
        <v>4</v>
      </c>
      <c r="D152" s="8" t="s">
        <v>721</v>
      </c>
      <c r="E152" s="10" t="s">
        <v>722</v>
      </c>
    </row>
    <row r="153" spans="1:5" ht="90" customHeight="1" x14ac:dyDescent="0.2">
      <c r="A153" s="8">
        <v>152</v>
      </c>
      <c r="B153" s="8" t="s">
        <v>261</v>
      </c>
      <c r="C153" s="11" t="s">
        <v>4</v>
      </c>
      <c r="D153" s="8" t="s">
        <v>723</v>
      </c>
      <c r="E153" s="10" t="s">
        <v>724</v>
      </c>
    </row>
    <row r="154" spans="1:5" ht="90" customHeight="1" x14ac:dyDescent="0.2">
      <c r="A154" s="8">
        <v>153</v>
      </c>
      <c r="B154" s="8" t="s">
        <v>262</v>
      </c>
      <c r="C154" s="11" t="s">
        <v>4</v>
      </c>
      <c r="D154" s="8" t="s">
        <v>484</v>
      </c>
      <c r="E154" s="10" t="s">
        <v>725</v>
      </c>
    </row>
    <row r="155" spans="1:5" ht="90" customHeight="1" x14ac:dyDescent="0.2">
      <c r="A155" s="8">
        <v>154</v>
      </c>
      <c r="B155" s="8" t="s">
        <v>263</v>
      </c>
      <c r="C155" s="11" t="s">
        <v>4</v>
      </c>
      <c r="D155" s="8" t="s">
        <v>726</v>
      </c>
      <c r="E155" s="10" t="s">
        <v>727</v>
      </c>
    </row>
    <row r="156" spans="1:5" ht="90" customHeight="1" x14ac:dyDescent="0.2">
      <c r="A156" s="8">
        <v>155</v>
      </c>
      <c r="B156" s="8" t="s">
        <v>265</v>
      </c>
      <c r="C156" s="11" t="s">
        <v>4</v>
      </c>
      <c r="D156" s="8" t="s">
        <v>728</v>
      </c>
      <c r="E156" s="10" t="s">
        <v>729</v>
      </c>
    </row>
    <row r="157" spans="1:5" ht="90" customHeight="1" x14ac:dyDescent="0.2">
      <c r="A157" s="8">
        <v>156</v>
      </c>
      <c r="B157" s="8" t="s">
        <v>266</v>
      </c>
      <c r="C157" s="11" t="s">
        <v>4</v>
      </c>
      <c r="D157" s="8" t="s">
        <v>693</v>
      </c>
      <c r="E157" s="10" t="s">
        <v>730</v>
      </c>
    </row>
    <row r="158" spans="1:5" ht="90" customHeight="1" x14ac:dyDescent="0.2">
      <c r="A158" s="8">
        <v>157</v>
      </c>
      <c r="B158" s="8" t="s">
        <v>268</v>
      </c>
      <c r="C158" s="11" t="s">
        <v>4</v>
      </c>
      <c r="D158" s="8" t="s">
        <v>731</v>
      </c>
      <c r="E158" s="10" t="s">
        <v>732</v>
      </c>
    </row>
    <row r="159" spans="1:5" ht="90" customHeight="1" x14ac:dyDescent="0.2">
      <c r="A159" s="8">
        <v>158</v>
      </c>
      <c r="B159" s="8" t="s">
        <v>269</v>
      </c>
      <c r="C159" s="11" t="s">
        <v>4</v>
      </c>
      <c r="D159" s="8" t="s">
        <v>733</v>
      </c>
      <c r="E159" s="10" t="s">
        <v>734</v>
      </c>
    </row>
    <row r="160" spans="1:5" ht="90" customHeight="1" x14ac:dyDescent="0.2">
      <c r="A160" s="8">
        <v>159</v>
      </c>
      <c r="B160" s="8" t="s">
        <v>270</v>
      </c>
      <c r="C160" s="11" t="s">
        <v>4</v>
      </c>
      <c r="D160" s="8" t="s">
        <v>735</v>
      </c>
      <c r="E160" s="10" t="s">
        <v>736</v>
      </c>
    </row>
    <row r="161" spans="1:5" ht="90" customHeight="1" x14ac:dyDescent="0.2">
      <c r="A161" s="8">
        <v>160</v>
      </c>
      <c r="B161" s="8" t="s">
        <v>272</v>
      </c>
      <c r="C161" s="11" t="s">
        <v>4</v>
      </c>
      <c r="D161" s="8" t="s">
        <v>737</v>
      </c>
      <c r="E161" s="10" t="s">
        <v>738</v>
      </c>
    </row>
    <row r="162" spans="1:5" ht="90" customHeight="1" x14ac:dyDescent="0.2">
      <c r="A162" s="8">
        <v>161</v>
      </c>
      <c r="B162" s="8" t="s">
        <v>273</v>
      </c>
      <c r="C162" s="11" t="s">
        <v>4</v>
      </c>
      <c r="D162" s="8" t="s">
        <v>739</v>
      </c>
      <c r="E162" s="10" t="s">
        <v>740</v>
      </c>
    </row>
    <row r="163" spans="1:5" ht="90" customHeight="1" x14ac:dyDescent="0.2">
      <c r="A163" s="8">
        <v>162</v>
      </c>
      <c r="B163" s="8" t="s">
        <v>274</v>
      </c>
      <c r="C163" s="11" t="s">
        <v>4</v>
      </c>
      <c r="D163" s="8" t="s">
        <v>741</v>
      </c>
      <c r="E163" s="10" t="s">
        <v>742</v>
      </c>
    </row>
    <row r="164" spans="1:5" ht="90" customHeight="1" x14ac:dyDescent="0.2">
      <c r="A164" s="8">
        <v>163</v>
      </c>
      <c r="B164" s="8" t="s">
        <v>275</v>
      </c>
      <c r="C164" s="11" t="s">
        <v>4</v>
      </c>
      <c r="D164" s="8" t="s">
        <v>697</v>
      </c>
      <c r="E164" s="10" t="s">
        <v>743</v>
      </c>
    </row>
    <row r="165" spans="1:5" ht="90" customHeight="1" x14ac:dyDescent="0.2">
      <c r="A165" s="8">
        <v>164</v>
      </c>
      <c r="B165" s="8" t="s">
        <v>276</v>
      </c>
      <c r="C165" s="11" t="s">
        <v>4</v>
      </c>
      <c r="D165" s="8" t="s">
        <v>744</v>
      </c>
      <c r="E165" s="10" t="s">
        <v>745</v>
      </c>
    </row>
    <row r="166" spans="1:5" ht="90" customHeight="1" x14ac:dyDescent="0.2">
      <c r="A166" s="8">
        <v>165</v>
      </c>
      <c r="B166" s="8" t="s">
        <v>278</v>
      </c>
      <c r="C166" s="11" t="s">
        <v>4</v>
      </c>
      <c r="D166" s="8" t="s">
        <v>746</v>
      </c>
      <c r="E166" s="10" t="s">
        <v>747</v>
      </c>
    </row>
    <row r="167" spans="1:5" ht="90" customHeight="1" x14ac:dyDescent="0.2">
      <c r="A167" s="8">
        <v>166</v>
      </c>
      <c r="B167" s="8" t="s">
        <v>279</v>
      </c>
      <c r="C167" s="11" t="s">
        <v>4</v>
      </c>
      <c r="D167" s="8" t="s">
        <v>748</v>
      </c>
      <c r="E167" s="10" t="s">
        <v>749</v>
      </c>
    </row>
    <row r="168" spans="1:5" ht="90" customHeight="1" x14ac:dyDescent="0.2">
      <c r="A168" s="8">
        <v>167</v>
      </c>
      <c r="B168" s="8" t="s">
        <v>281</v>
      </c>
      <c r="C168" s="11" t="s">
        <v>4</v>
      </c>
      <c r="D168" s="8" t="s">
        <v>540</v>
      </c>
      <c r="E168" s="10" t="s">
        <v>541</v>
      </c>
    </row>
    <row r="169" spans="1:5" ht="90" customHeight="1" x14ac:dyDescent="0.2">
      <c r="A169" s="8">
        <v>168</v>
      </c>
      <c r="B169" s="8" t="s">
        <v>282</v>
      </c>
      <c r="C169" s="11" t="s">
        <v>4</v>
      </c>
      <c r="D169" s="8" t="s">
        <v>750</v>
      </c>
      <c r="E169" s="10" t="s">
        <v>751</v>
      </c>
    </row>
    <row r="170" spans="1:5" ht="90" customHeight="1" x14ac:dyDescent="0.2">
      <c r="A170" s="8">
        <v>169</v>
      </c>
      <c r="B170" s="8" t="s">
        <v>284</v>
      </c>
      <c r="C170" s="11" t="s">
        <v>4</v>
      </c>
      <c r="D170" s="8" t="s">
        <v>752</v>
      </c>
      <c r="E170" s="10" t="s">
        <v>753</v>
      </c>
    </row>
    <row r="171" spans="1:5" ht="90" customHeight="1" x14ac:dyDescent="0.2">
      <c r="A171" s="8">
        <v>170</v>
      </c>
      <c r="B171" s="8" t="s">
        <v>286</v>
      </c>
      <c r="C171" s="11" t="s">
        <v>4</v>
      </c>
      <c r="D171" s="8" t="s">
        <v>754</v>
      </c>
      <c r="E171" s="10" t="s">
        <v>755</v>
      </c>
    </row>
    <row r="172" spans="1:5" ht="90" customHeight="1" x14ac:dyDescent="0.2">
      <c r="A172" s="8">
        <v>171</v>
      </c>
      <c r="B172" s="8" t="s">
        <v>287</v>
      </c>
      <c r="C172" s="11" t="s">
        <v>4</v>
      </c>
      <c r="D172" s="8" t="s">
        <v>756</v>
      </c>
      <c r="E172" s="10" t="s">
        <v>757</v>
      </c>
    </row>
    <row r="173" spans="1:5" ht="90" customHeight="1" x14ac:dyDescent="0.2">
      <c r="A173" s="8">
        <v>172</v>
      </c>
      <c r="B173" s="8" t="s">
        <v>288</v>
      </c>
      <c r="C173" s="11" t="s">
        <v>4</v>
      </c>
      <c r="D173" s="8" t="s">
        <v>758</v>
      </c>
      <c r="E173" s="10" t="s">
        <v>759</v>
      </c>
    </row>
    <row r="174" spans="1:5" ht="90" customHeight="1" x14ac:dyDescent="0.2">
      <c r="A174" s="8">
        <v>173</v>
      </c>
      <c r="B174" s="8" t="s">
        <v>289</v>
      </c>
      <c r="C174" s="11" t="s">
        <v>4</v>
      </c>
      <c r="D174" s="8" t="s">
        <v>760</v>
      </c>
      <c r="E174" s="10" t="s">
        <v>761</v>
      </c>
    </row>
    <row r="175" spans="1:5" ht="90" customHeight="1" x14ac:dyDescent="0.2">
      <c r="A175" s="8">
        <v>174</v>
      </c>
      <c r="B175" s="8" t="s">
        <v>290</v>
      </c>
      <c r="C175" s="11" t="s">
        <v>4</v>
      </c>
      <c r="D175" s="8" t="s">
        <v>648</v>
      </c>
      <c r="E175" s="10" t="s">
        <v>762</v>
      </c>
    </row>
    <row r="176" spans="1:5" ht="90" customHeight="1" x14ac:dyDescent="0.2">
      <c r="A176" s="8">
        <v>175</v>
      </c>
      <c r="B176" s="8" t="s">
        <v>291</v>
      </c>
      <c r="C176" s="11" t="s">
        <v>4</v>
      </c>
      <c r="D176" s="8" t="s">
        <v>763</v>
      </c>
      <c r="E176" s="10" t="s">
        <v>764</v>
      </c>
    </row>
    <row r="177" spans="1:5" ht="90" customHeight="1" x14ac:dyDescent="0.2">
      <c r="A177" s="8">
        <v>176</v>
      </c>
      <c r="B177" s="8" t="s">
        <v>293</v>
      </c>
      <c r="C177" s="11" t="s">
        <v>4</v>
      </c>
      <c r="D177" s="8" t="s">
        <v>765</v>
      </c>
      <c r="E177" s="10" t="s">
        <v>766</v>
      </c>
    </row>
    <row r="178" spans="1:5" ht="90" customHeight="1" x14ac:dyDescent="0.2">
      <c r="A178" s="8">
        <v>177</v>
      </c>
      <c r="B178" s="8" t="s">
        <v>294</v>
      </c>
      <c r="C178" s="11" t="s">
        <v>4</v>
      </c>
      <c r="D178" s="8" t="s">
        <v>767</v>
      </c>
      <c r="E178" s="10" t="s">
        <v>768</v>
      </c>
    </row>
    <row r="179" spans="1:5" ht="90" customHeight="1" x14ac:dyDescent="0.2">
      <c r="A179" s="8">
        <v>178</v>
      </c>
      <c r="B179" s="8" t="s">
        <v>295</v>
      </c>
      <c r="C179" s="11" t="s">
        <v>4</v>
      </c>
      <c r="D179" s="8" t="s">
        <v>769</v>
      </c>
      <c r="E179" s="10" t="s">
        <v>770</v>
      </c>
    </row>
    <row r="180" spans="1:5" ht="90" customHeight="1" x14ac:dyDescent="0.2">
      <c r="A180" s="8">
        <v>179</v>
      </c>
      <c r="B180" s="8" t="s">
        <v>296</v>
      </c>
      <c r="C180" s="11" t="s">
        <v>4</v>
      </c>
      <c r="D180" s="8" t="s">
        <v>666</v>
      </c>
      <c r="E180" s="10" t="s">
        <v>771</v>
      </c>
    </row>
    <row r="181" spans="1:5" ht="90" customHeight="1" x14ac:dyDescent="0.2">
      <c r="A181" s="8">
        <v>180</v>
      </c>
      <c r="B181" s="8" t="s">
        <v>297</v>
      </c>
      <c r="C181" s="11" t="s">
        <v>4</v>
      </c>
      <c r="D181" s="8" t="s">
        <v>772</v>
      </c>
      <c r="E181" s="10" t="s">
        <v>773</v>
      </c>
    </row>
    <row r="182" spans="1:5" ht="90" customHeight="1" x14ac:dyDescent="0.2">
      <c r="A182" s="8">
        <v>181</v>
      </c>
      <c r="B182" s="8" t="s">
        <v>298</v>
      </c>
      <c r="C182" s="11" t="s">
        <v>4</v>
      </c>
      <c r="D182" s="8" t="s">
        <v>774</v>
      </c>
      <c r="E182" s="10" t="s">
        <v>775</v>
      </c>
    </row>
    <row r="183" spans="1:5" ht="90" customHeight="1" x14ac:dyDescent="0.2">
      <c r="A183" s="8">
        <v>182</v>
      </c>
      <c r="B183" s="8" t="s">
        <v>299</v>
      </c>
      <c r="C183" s="11" t="s">
        <v>4</v>
      </c>
      <c r="D183" s="8" t="s">
        <v>776</v>
      </c>
      <c r="E183" s="10" t="s">
        <v>777</v>
      </c>
    </row>
    <row r="184" spans="1:5" ht="90" customHeight="1" x14ac:dyDescent="0.2">
      <c r="A184" s="8">
        <v>183</v>
      </c>
      <c r="B184" s="8" t="s">
        <v>300</v>
      </c>
      <c r="C184" s="11" t="s">
        <v>4</v>
      </c>
      <c r="D184" s="8" t="s">
        <v>778</v>
      </c>
      <c r="E184" s="10" t="s">
        <v>779</v>
      </c>
    </row>
    <row r="185" spans="1:5" ht="90" customHeight="1" x14ac:dyDescent="0.2">
      <c r="A185" s="8">
        <v>184</v>
      </c>
      <c r="B185" s="8" t="s">
        <v>301</v>
      </c>
      <c r="C185" s="11" t="s">
        <v>4</v>
      </c>
      <c r="D185" s="8" t="s">
        <v>780</v>
      </c>
      <c r="E185" s="10" t="s">
        <v>781</v>
      </c>
    </row>
    <row r="186" spans="1:5" ht="90" customHeight="1" x14ac:dyDescent="0.2">
      <c r="A186" s="8">
        <v>185</v>
      </c>
      <c r="B186" s="8" t="s">
        <v>302</v>
      </c>
      <c r="C186" s="11" t="s">
        <v>4</v>
      </c>
      <c r="D186" s="8" t="s">
        <v>782</v>
      </c>
      <c r="E186" s="10" t="s">
        <v>783</v>
      </c>
    </row>
    <row r="187" spans="1:5" ht="90" customHeight="1" x14ac:dyDescent="0.2">
      <c r="A187" s="8">
        <v>186</v>
      </c>
      <c r="B187" s="8" t="s">
        <v>303</v>
      </c>
      <c r="C187" s="11" t="s">
        <v>4</v>
      </c>
      <c r="D187" s="8" t="s">
        <v>784</v>
      </c>
      <c r="E187" s="10" t="s">
        <v>785</v>
      </c>
    </row>
    <row r="188" spans="1:5" ht="90" customHeight="1" x14ac:dyDescent="0.2">
      <c r="A188" s="8">
        <v>187</v>
      </c>
      <c r="B188" s="8" t="s">
        <v>305</v>
      </c>
      <c r="C188" s="11" t="s">
        <v>4</v>
      </c>
      <c r="D188" s="8" t="s">
        <v>458</v>
      </c>
      <c r="E188" s="10" t="s">
        <v>786</v>
      </c>
    </row>
    <row r="189" spans="1:5" ht="90" customHeight="1" x14ac:dyDescent="0.2">
      <c r="A189" s="8">
        <v>188</v>
      </c>
      <c r="B189" s="8" t="s">
        <v>306</v>
      </c>
      <c r="C189" s="11" t="s">
        <v>4</v>
      </c>
      <c r="D189" s="8" t="s">
        <v>787</v>
      </c>
      <c r="E189" s="10" t="s">
        <v>788</v>
      </c>
    </row>
    <row r="190" spans="1:5" ht="90" customHeight="1" x14ac:dyDescent="0.2">
      <c r="A190" s="8">
        <v>189</v>
      </c>
      <c r="B190" s="8" t="s">
        <v>308</v>
      </c>
      <c r="C190" s="11" t="s">
        <v>4</v>
      </c>
      <c r="D190" s="8" t="s">
        <v>789</v>
      </c>
      <c r="E190" s="10" t="s">
        <v>790</v>
      </c>
    </row>
    <row r="191" spans="1:5" ht="90" customHeight="1" x14ac:dyDescent="0.2">
      <c r="A191" s="8">
        <v>190</v>
      </c>
      <c r="B191" s="8" t="s">
        <v>309</v>
      </c>
      <c r="C191" s="11" t="s">
        <v>4</v>
      </c>
      <c r="D191" s="8" t="s">
        <v>791</v>
      </c>
      <c r="E191" s="10" t="s">
        <v>792</v>
      </c>
    </row>
    <row r="192" spans="1:5" ht="90" customHeight="1" x14ac:dyDescent="0.2">
      <c r="A192" s="8">
        <v>191</v>
      </c>
      <c r="B192" s="8" t="s">
        <v>310</v>
      </c>
      <c r="C192" s="11" t="s">
        <v>4</v>
      </c>
      <c r="D192" s="8" t="s">
        <v>793</v>
      </c>
      <c r="E192" s="10" t="s">
        <v>794</v>
      </c>
    </row>
    <row r="193" spans="1:5" ht="90" customHeight="1" x14ac:dyDescent="0.2">
      <c r="A193" s="8">
        <v>192</v>
      </c>
      <c r="B193" s="8" t="s">
        <v>311</v>
      </c>
      <c r="C193" s="11" t="s">
        <v>4</v>
      </c>
      <c r="D193" s="8" t="s">
        <v>484</v>
      </c>
      <c r="E193" s="10" t="s">
        <v>795</v>
      </c>
    </row>
    <row r="194" spans="1:5" ht="90" customHeight="1" x14ac:dyDescent="0.2">
      <c r="A194" s="8">
        <v>193</v>
      </c>
      <c r="B194" s="8" t="s">
        <v>312</v>
      </c>
      <c r="C194" s="11" t="s">
        <v>4</v>
      </c>
      <c r="D194" s="8" t="s">
        <v>796</v>
      </c>
      <c r="E194" s="10" t="s">
        <v>797</v>
      </c>
    </row>
    <row r="195" spans="1:5" ht="90" customHeight="1" x14ac:dyDescent="0.2">
      <c r="A195" s="8">
        <v>194</v>
      </c>
      <c r="B195" s="8" t="s">
        <v>313</v>
      </c>
      <c r="C195" s="11" t="s">
        <v>4</v>
      </c>
      <c r="D195" s="8" t="s">
        <v>798</v>
      </c>
      <c r="E195" s="10" t="s">
        <v>799</v>
      </c>
    </row>
    <row r="196" spans="1:5" ht="90" customHeight="1" x14ac:dyDescent="0.2">
      <c r="A196" s="8">
        <v>195</v>
      </c>
      <c r="B196" s="8" t="s">
        <v>315</v>
      </c>
      <c r="C196" s="11" t="s">
        <v>4</v>
      </c>
      <c r="D196" s="8" t="s">
        <v>800</v>
      </c>
      <c r="E196" s="10" t="s">
        <v>801</v>
      </c>
    </row>
    <row r="197" spans="1:5" ht="90" customHeight="1" x14ac:dyDescent="0.2">
      <c r="A197" s="8">
        <v>196</v>
      </c>
      <c r="B197" s="8" t="s">
        <v>316</v>
      </c>
      <c r="C197" s="11" t="s">
        <v>4</v>
      </c>
      <c r="D197" s="8" t="s">
        <v>625</v>
      </c>
      <c r="E197" s="10" t="s">
        <v>802</v>
      </c>
    </row>
    <row r="198" spans="1:5" ht="90" customHeight="1" x14ac:dyDescent="0.2">
      <c r="A198" s="8">
        <v>197</v>
      </c>
      <c r="B198" s="8" t="s">
        <v>317</v>
      </c>
      <c r="C198" s="11" t="s">
        <v>4</v>
      </c>
      <c r="D198" s="8" t="s">
        <v>803</v>
      </c>
      <c r="E198" s="10" t="s">
        <v>804</v>
      </c>
    </row>
    <row r="199" spans="1:5" ht="90" customHeight="1" x14ac:dyDescent="0.2">
      <c r="A199" s="8">
        <v>198</v>
      </c>
      <c r="B199" s="8" t="s">
        <v>318</v>
      </c>
      <c r="C199" s="11" t="s">
        <v>4</v>
      </c>
      <c r="D199" s="8" t="s">
        <v>805</v>
      </c>
      <c r="E199" s="10" t="s">
        <v>806</v>
      </c>
    </row>
    <row r="200" spans="1:5" ht="90" customHeight="1" x14ac:dyDescent="0.2">
      <c r="A200" s="8">
        <v>199</v>
      </c>
      <c r="B200" s="8" t="s">
        <v>319</v>
      </c>
      <c r="C200" s="11" t="s">
        <v>4</v>
      </c>
      <c r="D200" s="8" t="s">
        <v>807</v>
      </c>
      <c r="E200" s="10" t="s">
        <v>808</v>
      </c>
    </row>
    <row r="201" spans="1:5" ht="90" customHeight="1" x14ac:dyDescent="0.2">
      <c r="A201" s="8">
        <v>200</v>
      </c>
      <c r="B201" s="8" t="s">
        <v>320</v>
      </c>
      <c r="C201" s="11" t="s">
        <v>4</v>
      </c>
      <c r="D201" s="8" t="s">
        <v>809</v>
      </c>
      <c r="E201" s="10" t="s">
        <v>810</v>
      </c>
    </row>
    <row r="202" spans="1:5" ht="90" customHeight="1" x14ac:dyDescent="0.2">
      <c r="A202" s="8">
        <v>201</v>
      </c>
      <c r="B202" s="8" t="s">
        <v>321</v>
      </c>
      <c r="C202" s="11" t="s">
        <v>4</v>
      </c>
      <c r="D202" s="8" t="s">
        <v>811</v>
      </c>
      <c r="E202" s="10" t="s">
        <v>812</v>
      </c>
    </row>
    <row r="203" spans="1:5" ht="90" customHeight="1" x14ac:dyDescent="0.2">
      <c r="A203" s="8">
        <v>202</v>
      </c>
      <c r="B203" s="8" t="s">
        <v>322</v>
      </c>
      <c r="C203" s="11" t="s">
        <v>4</v>
      </c>
      <c r="D203" s="8" t="s">
        <v>813</v>
      </c>
      <c r="E203" s="10" t="s">
        <v>814</v>
      </c>
    </row>
    <row r="204" spans="1:5" ht="90" customHeight="1" x14ac:dyDescent="0.2">
      <c r="A204" s="8">
        <v>203</v>
      </c>
      <c r="B204" s="8" t="s">
        <v>323</v>
      </c>
      <c r="C204" s="11" t="s">
        <v>4</v>
      </c>
      <c r="D204" s="8" t="s">
        <v>815</v>
      </c>
      <c r="E204" s="10" t="s">
        <v>816</v>
      </c>
    </row>
    <row r="205" spans="1:5" ht="90" customHeight="1" x14ac:dyDescent="0.2">
      <c r="A205" s="8">
        <v>204</v>
      </c>
      <c r="B205" s="8" t="s">
        <v>324</v>
      </c>
      <c r="C205" s="11" t="s">
        <v>4</v>
      </c>
      <c r="D205" s="8" t="s">
        <v>817</v>
      </c>
      <c r="E205" s="10" t="s">
        <v>818</v>
      </c>
    </row>
    <row r="206" spans="1:5" ht="90" customHeight="1" x14ac:dyDescent="0.2">
      <c r="A206" s="8">
        <v>205</v>
      </c>
      <c r="B206" s="8" t="s">
        <v>325</v>
      </c>
      <c r="C206" s="11" t="s">
        <v>4</v>
      </c>
      <c r="D206" s="8" t="s">
        <v>819</v>
      </c>
      <c r="E206" s="10" t="s">
        <v>820</v>
      </c>
    </row>
    <row r="207" spans="1:5" ht="90" customHeight="1" x14ac:dyDescent="0.2">
      <c r="A207" s="8">
        <v>206</v>
      </c>
      <c r="B207" s="8" t="s">
        <v>326</v>
      </c>
      <c r="C207" s="11" t="s">
        <v>4</v>
      </c>
      <c r="D207" s="8" t="s">
        <v>821</v>
      </c>
      <c r="E207" s="10" t="s">
        <v>822</v>
      </c>
    </row>
    <row r="208" spans="1:5" ht="90" customHeight="1" x14ac:dyDescent="0.2">
      <c r="A208" s="8">
        <v>207</v>
      </c>
      <c r="B208" s="8" t="s">
        <v>328</v>
      </c>
      <c r="C208" s="11" t="s">
        <v>4</v>
      </c>
      <c r="D208" s="8" t="s">
        <v>823</v>
      </c>
      <c r="E208" s="10" t="s">
        <v>824</v>
      </c>
    </row>
    <row r="209" spans="1:5" ht="90" customHeight="1" x14ac:dyDescent="0.2">
      <c r="A209" s="8">
        <v>208</v>
      </c>
      <c r="B209" s="8" t="s">
        <v>329</v>
      </c>
      <c r="C209" s="11" t="s">
        <v>4</v>
      </c>
      <c r="D209" s="8" t="s">
        <v>825</v>
      </c>
      <c r="E209" s="10" t="s">
        <v>826</v>
      </c>
    </row>
    <row r="210" spans="1:5" ht="90" customHeight="1" x14ac:dyDescent="0.2">
      <c r="A210" s="8">
        <v>209</v>
      </c>
      <c r="B210" s="8" t="s">
        <v>330</v>
      </c>
      <c r="C210" s="11" t="s">
        <v>4</v>
      </c>
      <c r="D210" s="8" t="s">
        <v>827</v>
      </c>
      <c r="E210" s="10" t="s">
        <v>828</v>
      </c>
    </row>
    <row r="211" spans="1:5" ht="90" customHeight="1" x14ac:dyDescent="0.2">
      <c r="A211" s="8">
        <v>210</v>
      </c>
      <c r="B211" s="8" t="s">
        <v>331</v>
      </c>
      <c r="C211" s="11" t="s">
        <v>4</v>
      </c>
      <c r="D211" s="8" t="s">
        <v>829</v>
      </c>
      <c r="E211" s="10" t="s">
        <v>830</v>
      </c>
    </row>
    <row r="212" spans="1:5" ht="90" customHeight="1" x14ac:dyDescent="0.2">
      <c r="A212" s="8">
        <v>211</v>
      </c>
      <c r="B212" s="8" t="s">
        <v>333</v>
      </c>
      <c r="C212" s="11" t="s">
        <v>4</v>
      </c>
      <c r="D212" s="8" t="s">
        <v>831</v>
      </c>
      <c r="E212" s="10" t="s">
        <v>832</v>
      </c>
    </row>
    <row r="213" spans="1:5" ht="90" customHeight="1" x14ac:dyDescent="0.2">
      <c r="A213" s="8">
        <v>212</v>
      </c>
      <c r="B213" s="8" t="s">
        <v>335</v>
      </c>
      <c r="C213" s="11" t="s">
        <v>4</v>
      </c>
      <c r="D213" s="8" t="s">
        <v>833</v>
      </c>
      <c r="E213" s="10" t="s">
        <v>834</v>
      </c>
    </row>
    <row r="214" spans="1:5" ht="90" customHeight="1" x14ac:dyDescent="0.2">
      <c r="A214" s="8">
        <v>213</v>
      </c>
      <c r="B214" s="8" t="s">
        <v>336</v>
      </c>
      <c r="C214" s="11" t="s">
        <v>4</v>
      </c>
      <c r="D214" s="8" t="s">
        <v>835</v>
      </c>
      <c r="E214" s="10" t="s">
        <v>836</v>
      </c>
    </row>
    <row r="215" spans="1:5" ht="90" customHeight="1" x14ac:dyDescent="0.2">
      <c r="A215" s="8">
        <v>214</v>
      </c>
      <c r="B215" s="8" t="s">
        <v>337</v>
      </c>
      <c r="C215" s="11" t="s">
        <v>4</v>
      </c>
      <c r="D215" s="8" t="s">
        <v>837</v>
      </c>
      <c r="E215" s="10" t="s">
        <v>838</v>
      </c>
    </row>
    <row r="216" spans="1:5" ht="90" customHeight="1" x14ac:dyDescent="0.2">
      <c r="A216" s="8">
        <v>215</v>
      </c>
      <c r="B216" s="8" t="s">
        <v>338</v>
      </c>
      <c r="C216" s="11" t="s">
        <v>4</v>
      </c>
      <c r="D216" s="8" t="s">
        <v>839</v>
      </c>
      <c r="E216" s="10" t="s">
        <v>840</v>
      </c>
    </row>
    <row r="217" spans="1:5" ht="90" customHeight="1" x14ac:dyDescent="0.2">
      <c r="A217" s="8">
        <v>216</v>
      </c>
      <c r="B217" s="8" t="s">
        <v>339</v>
      </c>
      <c r="C217" s="11" t="s">
        <v>4</v>
      </c>
      <c r="D217" s="8" t="s">
        <v>841</v>
      </c>
      <c r="E217" s="10" t="s">
        <v>842</v>
      </c>
    </row>
    <row r="218" spans="1:5" ht="90" customHeight="1" x14ac:dyDescent="0.2">
      <c r="A218" s="8">
        <v>217</v>
      </c>
      <c r="B218" s="8" t="s">
        <v>340</v>
      </c>
      <c r="C218" s="11" t="s">
        <v>4</v>
      </c>
      <c r="D218" s="8" t="s">
        <v>843</v>
      </c>
      <c r="E218" s="10" t="s">
        <v>844</v>
      </c>
    </row>
    <row r="219" spans="1:5" ht="90" customHeight="1" x14ac:dyDescent="0.2">
      <c r="A219" s="8">
        <v>218</v>
      </c>
      <c r="B219" s="8" t="s">
        <v>342</v>
      </c>
      <c r="C219" s="11" t="s">
        <v>4</v>
      </c>
      <c r="D219" s="8" t="s">
        <v>845</v>
      </c>
      <c r="E219" s="10" t="s">
        <v>846</v>
      </c>
    </row>
    <row r="220" spans="1:5" ht="90" customHeight="1" x14ac:dyDescent="0.2">
      <c r="A220" s="8">
        <v>219</v>
      </c>
      <c r="B220" s="8" t="s">
        <v>344</v>
      </c>
      <c r="C220" s="11" t="s">
        <v>4</v>
      </c>
      <c r="D220" s="8" t="s">
        <v>847</v>
      </c>
      <c r="E220" s="10" t="s">
        <v>848</v>
      </c>
    </row>
    <row r="221" spans="1:5" ht="90" customHeight="1" x14ac:dyDescent="0.2">
      <c r="A221" s="8">
        <v>220</v>
      </c>
      <c r="B221" s="8" t="s">
        <v>346</v>
      </c>
      <c r="C221" s="11" t="s">
        <v>4</v>
      </c>
      <c r="D221" s="8" t="s">
        <v>849</v>
      </c>
      <c r="E221" s="10" t="s">
        <v>850</v>
      </c>
    </row>
    <row r="222" spans="1:5" ht="90" customHeight="1" x14ac:dyDescent="0.2">
      <c r="A222" s="8">
        <v>221</v>
      </c>
      <c r="B222" s="8" t="s">
        <v>347</v>
      </c>
      <c r="C222" s="11" t="s">
        <v>4</v>
      </c>
      <c r="D222" s="8" t="s">
        <v>484</v>
      </c>
      <c r="E222" s="10" t="s">
        <v>851</v>
      </c>
    </row>
    <row r="223" spans="1:5" ht="90" customHeight="1" x14ac:dyDescent="0.2">
      <c r="A223" s="8">
        <v>222</v>
      </c>
      <c r="B223" s="8" t="s">
        <v>348</v>
      </c>
      <c r="C223" s="11" t="s">
        <v>4</v>
      </c>
      <c r="D223" s="8" t="s">
        <v>723</v>
      </c>
      <c r="E223" s="10" t="s">
        <v>852</v>
      </c>
    </row>
    <row r="224" spans="1:5" ht="90" customHeight="1" x14ac:dyDescent="0.2">
      <c r="A224" s="8">
        <v>223</v>
      </c>
      <c r="B224" s="8" t="s">
        <v>350</v>
      </c>
      <c r="C224" s="11" t="s">
        <v>4</v>
      </c>
      <c r="D224" s="8" t="s">
        <v>853</v>
      </c>
      <c r="E224" s="10" t="s">
        <v>854</v>
      </c>
    </row>
    <row r="225" spans="1:5" ht="90" customHeight="1" x14ac:dyDescent="0.2">
      <c r="A225" s="8">
        <v>224</v>
      </c>
      <c r="B225" s="8" t="s">
        <v>352</v>
      </c>
      <c r="C225" s="11" t="s">
        <v>4</v>
      </c>
      <c r="D225" s="8" t="s">
        <v>855</v>
      </c>
      <c r="E225" s="10" t="s">
        <v>856</v>
      </c>
    </row>
    <row r="226" spans="1:5" ht="90" customHeight="1" x14ac:dyDescent="0.2">
      <c r="A226" s="8">
        <v>225</v>
      </c>
      <c r="B226" s="8" t="s">
        <v>353</v>
      </c>
      <c r="C226" s="11" t="s">
        <v>4</v>
      </c>
      <c r="D226" s="8" t="s">
        <v>857</v>
      </c>
      <c r="E226" s="10" t="s">
        <v>858</v>
      </c>
    </row>
    <row r="227" spans="1:5" ht="90" customHeight="1" x14ac:dyDescent="0.2">
      <c r="A227" s="8">
        <v>226</v>
      </c>
      <c r="B227" s="8" t="s">
        <v>355</v>
      </c>
      <c r="C227" s="11" t="s">
        <v>4</v>
      </c>
      <c r="D227" s="8" t="s">
        <v>859</v>
      </c>
      <c r="E227" s="10" t="s">
        <v>860</v>
      </c>
    </row>
    <row r="228" spans="1:5" ht="90" customHeight="1" x14ac:dyDescent="0.2">
      <c r="A228" s="8">
        <v>227</v>
      </c>
      <c r="B228" s="8" t="s">
        <v>356</v>
      </c>
      <c r="C228" s="11" t="s">
        <v>4</v>
      </c>
      <c r="D228" s="8" t="s">
        <v>861</v>
      </c>
      <c r="E228" s="10" t="s">
        <v>862</v>
      </c>
    </row>
    <row r="229" spans="1:5" ht="90" customHeight="1" x14ac:dyDescent="0.2">
      <c r="A229" s="8">
        <v>228</v>
      </c>
      <c r="B229" s="8" t="s">
        <v>357</v>
      </c>
      <c r="C229" s="11" t="s">
        <v>4</v>
      </c>
      <c r="D229" s="8" t="s">
        <v>863</v>
      </c>
      <c r="E229" s="10" t="s">
        <v>864</v>
      </c>
    </row>
    <row r="230" spans="1:5" ht="90" customHeight="1" x14ac:dyDescent="0.2">
      <c r="A230" s="8">
        <v>229</v>
      </c>
      <c r="B230" s="8" t="s">
        <v>358</v>
      </c>
      <c r="C230" s="11" t="s">
        <v>4</v>
      </c>
      <c r="D230" s="8" t="s">
        <v>865</v>
      </c>
      <c r="E230" s="10" t="s">
        <v>866</v>
      </c>
    </row>
    <row r="231" spans="1:5" ht="90" customHeight="1" x14ac:dyDescent="0.2">
      <c r="A231" s="8">
        <v>230</v>
      </c>
      <c r="B231" s="8" t="s">
        <v>359</v>
      </c>
      <c r="C231" s="11" t="s">
        <v>4</v>
      </c>
      <c r="D231" s="8" t="s">
        <v>867</v>
      </c>
      <c r="E231" s="10" t="s">
        <v>868</v>
      </c>
    </row>
    <row r="232" spans="1:5" ht="90" customHeight="1" x14ac:dyDescent="0.2">
      <c r="A232" s="8">
        <v>231</v>
      </c>
      <c r="B232" s="8" t="s">
        <v>360</v>
      </c>
      <c r="C232" s="11" t="s">
        <v>4</v>
      </c>
      <c r="D232" s="8" t="s">
        <v>869</v>
      </c>
      <c r="E232" s="10" t="s">
        <v>870</v>
      </c>
    </row>
    <row r="233" spans="1:5" ht="90" customHeight="1" x14ac:dyDescent="0.2">
      <c r="A233" s="8">
        <v>232</v>
      </c>
      <c r="B233" s="8" t="s">
        <v>361</v>
      </c>
      <c r="C233" s="11" t="s">
        <v>4</v>
      </c>
      <c r="D233" s="8" t="s">
        <v>446</v>
      </c>
      <c r="E233" s="10" t="s">
        <v>690</v>
      </c>
    </row>
    <row r="234" spans="1:5" ht="90" customHeight="1" x14ac:dyDescent="0.2">
      <c r="A234" s="8">
        <v>233</v>
      </c>
      <c r="B234" s="8" t="s">
        <v>362</v>
      </c>
      <c r="C234" s="11" t="s">
        <v>4</v>
      </c>
      <c r="D234" s="8" t="s">
        <v>871</v>
      </c>
      <c r="E234" s="10" t="s">
        <v>872</v>
      </c>
    </row>
    <row r="235" spans="1:5" ht="90" customHeight="1" x14ac:dyDescent="0.2">
      <c r="A235" s="8">
        <v>234</v>
      </c>
      <c r="B235" s="8" t="s">
        <v>363</v>
      </c>
      <c r="C235" s="11" t="s">
        <v>4</v>
      </c>
      <c r="D235" s="8" t="s">
        <v>526</v>
      </c>
      <c r="E235" s="10" t="s">
        <v>873</v>
      </c>
    </row>
    <row r="236" spans="1:5" ht="90" customHeight="1" x14ac:dyDescent="0.2">
      <c r="A236" s="8">
        <v>235</v>
      </c>
      <c r="B236" s="8" t="s">
        <v>364</v>
      </c>
      <c r="C236" s="11" t="s">
        <v>4</v>
      </c>
      <c r="D236" s="8" t="s">
        <v>874</v>
      </c>
      <c r="E236" s="10" t="s">
        <v>875</v>
      </c>
    </row>
    <row r="237" spans="1:5" ht="90" customHeight="1" x14ac:dyDescent="0.2">
      <c r="A237" s="8">
        <v>236</v>
      </c>
      <c r="B237" s="8" t="s">
        <v>365</v>
      </c>
      <c r="C237" s="11" t="s">
        <v>4</v>
      </c>
      <c r="D237" s="8" t="s">
        <v>876</v>
      </c>
      <c r="E237" s="10" t="s">
        <v>877</v>
      </c>
    </row>
    <row r="238" spans="1:5" ht="90" customHeight="1" x14ac:dyDescent="0.2">
      <c r="A238" s="8">
        <v>237</v>
      </c>
      <c r="B238" s="8" t="s">
        <v>366</v>
      </c>
      <c r="C238" s="11" t="s">
        <v>4</v>
      </c>
      <c r="D238" s="8" t="s">
        <v>878</v>
      </c>
      <c r="E238" s="10" t="s">
        <v>879</v>
      </c>
    </row>
    <row r="239" spans="1:5" ht="90" customHeight="1" x14ac:dyDescent="0.2">
      <c r="A239" s="8">
        <v>238</v>
      </c>
      <c r="B239" s="8" t="s">
        <v>367</v>
      </c>
      <c r="C239" s="11" t="s">
        <v>4</v>
      </c>
      <c r="D239" s="8" t="s">
        <v>825</v>
      </c>
      <c r="E239" s="10" t="s">
        <v>880</v>
      </c>
    </row>
    <row r="240" spans="1:5" ht="90" customHeight="1" x14ac:dyDescent="0.2">
      <c r="A240" s="8">
        <v>239</v>
      </c>
      <c r="B240" s="8" t="s">
        <v>369</v>
      </c>
      <c r="C240" s="11" t="s">
        <v>4</v>
      </c>
      <c r="D240" s="8" t="s">
        <v>881</v>
      </c>
      <c r="E240" s="10" t="s">
        <v>882</v>
      </c>
    </row>
    <row r="241" spans="1:5" ht="90" customHeight="1" x14ac:dyDescent="0.2">
      <c r="A241" s="8">
        <v>240</v>
      </c>
      <c r="B241" s="8" t="s">
        <v>370</v>
      </c>
      <c r="C241" s="11" t="s">
        <v>4</v>
      </c>
      <c r="D241" s="8" t="s">
        <v>883</v>
      </c>
      <c r="E241" s="10" t="s">
        <v>884</v>
      </c>
    </row>
    <row r="242" spans="1:5" ht="90" customHeight="1" x14ac:dyDescent="0.2">
      <c r="A242" s="8">
        <v>241</v>
      </c>
      <c r="B242" s="8" t="s">
        <v>371</v>
      </c>
      <c r="C242" s="11" t="s">
        <v>4</v>
      </c>
      <c r="D242" s="8" t="s">
        <v>885</v>
      </c>
      <c r="E242" s="10" t="s">
        <v>886</v>
      </c>
    </row>
    <row r="243" spans="1:5" ht="90" customHeight="1" x14ac:dyDescent="0.2">
      <c r="A243" s="8">
        <v>242</v>
      </c>
      <c r="B243" s="8" t="s">
        <v>373</v>
      </c>
      <c r="C243" s="11" t="s">
        <v>4</v>
      </c>
      <c r="D243" s="8" t="s">
        <v>887</v>
      </c>
      <c r="E243" s="10" t="s">
        <v>888</v>
      </c>
    </row>
    <row r="244" spans="1:5" ht="90" customHeight="1" x14ac:dyDescent="0.2">
      <c r="A244" s="8">
        <v>243</v>
      </c>
      <c r="B244" s="8" t="s">
        <v>374</v>
      </c>
      <c r="C244" s="11" t="s">
        <v>4</v>
      </c>
      <c r="D244" s="8" t="s">
        <v>603</v>
      </c>
      <c r="E244" s="10" t="s">
        <v>889</v>
      </c>
    </row>
    <row r="245" spans="1:5" ht="90" customHeight="1" x14ac:dyDescent="0.2">
      <c r="A245" s="8">
        <v>244</v>
      </c>
      <c r="B245" s="8" t="s">
        <v>375</v>
      </c>
      <c r="C245" s="11" t="s">
        <v>4</v>
      </c>
      <c r="D245" s="8" t="s">
        <v>890</v>
      </c>
      <c r="E245" s="10" t="s">
        <v>891</v>
      </c>
    </row>
    <row r="246" spans="1:5" ht="90" customHeight="1" x14ac:dyDescent="0.2">
      <c r="A246" s="8">
        <v>245</v>
      </c>
      <c r="B246" s="8" t="s">
        <v>376</v>
      </c>
      <c r="C246" s="11" t="s">
        <v>4</v>
      </c>
      <c r="D246" s="8" t="s">
        <v>892</v>
      </c>
      <c r="E246" s="10" t="s">
        <v>893</v>
      </c>
    </row>
    <row r="247" spans="1:5" ht="90" customHeight="1" x14ac:dyDescent="0.2">
      <c r="A247" s="8">
        <v>246</v>
      </c>
      <c r="B247" s="8" t="s">
        <v>377</v>
      </c>
      <c r="C247" s="11" t="s">
        <v>4</v>
      </c>
      <c r="D247" s="8" t="s">
        <v>894</v>
      </c>
      <c r="E247" s="10" t="s">
        <v>895</v>
      </c>
    </row>
    <row r="248" spans="1:5" ht="90" customHeight="1" x14ac:dyDescent="0.2">
      <c r="A248" s="8">
        <v>247</v>
      </c>
      <c r="B248" s="8" t="s">
        <v>378</v>
      </c>
      <c r="C248" s="11" t="s">
        <v>4</v>
      </c>
      <c r="D248" s="8" t="s">
        <v>896</v>
      </c>
      <c r="E248" s="10" t="s">
        <v>897</v>
      </c>
    </row>
    <row r="249" spans="1:5" ht="90" customHeight="1" x14ac:dyDescent="0.2">
      <c r="A249" s="8">
        <v>248</v>
      </c>
      <c r="B249" s="8" t="s">
        <v>379</v>
      </c>
      <c r="C249" s="11" t="s">
        <v>4</v>
      </c>
      <c r="D249" s="8" t="s">
        <v>898</v>
      </c>
      <c r="E249" s="10" t="s">
        <v>899</v>
      </c>
    </row>
    <row r="250" spans="1:5" ht="90" customHeight="1" x14ac:dyDescent="0.2">
      <c r="A250" s="8">
        <v>249</v>
      </c>
      <c r="B250" s="8" t="s">
        <v>381</v>
      </c>
      <c r="C250" s="11" t="s">
        <v>4</v>
      </c>
      <c r="D250" s="8" t="s">
        <v>470</v>
      </c>
      <c r="E250" s="10" t="s">
        <v>900</v>
      </c>
    </row>
    <row r="251" spans="1:5" ht="90" customHeight="1" x14ac:dyDescent="0.2">
      <c r="A251" s="8">
        <v>250</v>
      </c>
      <c r="B251" s="8" t="s">
        <v>382</v>
      </c>
      <c r="C251" s="11" t="s">
        <v>4</v>
      </c>
      <c r="D251" s="8" t="s">
        <v>901</v>
      </c>
      <c r="E251" s="10" t="s">
        <v>902</v>
      </c>
    </row>
    <row r="252" spans="1:5" ht="90" customHeight="1" x14ac:dyDescent="0.2">
      <c r="A252" s="8">
        <v>251</v>
      </c>
      <c r="B252" s="8" t="s">
        <v>383</v>
      </c>
      <c r="C252" s="11" t="s">
        <v>4</v>
      </c>
      <c r="D252" s="8" t="s">
        <v>903</v>
      </c>
      <c r="E252" s="10" t="s">
        <v>904</v>
      </c>
    </row>
    <row r="253" spans="1:5" ht="90" customHeight="1" x14ac:dyDescent="0.2">
      <c r="A253" s="8">
        <v>252</v>
      </c>
      <c r="B253" s="8" t="s">
        <v>384</v>
      </c>
      <c r="C253" s="11" t="s">
        <v>4</v>
      </c>
      <c r="D253" s="8" t="s">
        <v>905</v>
      </c>
      <c r="E253" s="10" t="s">
        <v>906</v>
      </c>
    </row>
    <row r="254" spans="1:5" ht="90" customHeight="1" x14ac:dyDescent="0.2">
      <c r="A254" s="8">
        <v>253</v>
      </c>
      <c r="B254" s="8" t="s">
        <v>385</v>
      </c>
      <c r="C254" s="11" t="s">
        <v>4</v>
      </c>
      <c r="D254" s="8" t="s">
        <v>907</v>
      </c>
      <c r="E254" s="10" t="s">
        <v>908</v>
      </c>
    </row>
    <row r="255" spans="1:5" ht="90" customHeight="1" x14ac:dyDescent="0.2">
      <c r="A255" s="8">
        <v>254</v>
      </c>
      <c r="B255" s="8" t="s">
        <v>386</v>
      </c>
      <c r="C255" s="11" t="s">
        <v>4</v>
      </c>
      <c r="D255" s="8" t="s">
        <v>909</v>
      </c>
      <c r="E255" s="10" t="s">
        <v>910</v>
      </c>
    </row>
    <row r="256" spans="1:5" ht="90" customHeight="1" x14ac:dyDescent="0.2">
      <c r="A256" s="8">
        <v>255</v>
      </c>
      <c r="B256" s="8" t="s">
        <v>387</v>
      </c>
      <c r="C256" s="11" t="s">
        <v>4</v>
      </c>
      <c r="D256" s="8" t="s">
        <v>517</v>
      </c>
      <c r="E256" s="10" t="s">
        <v>911</v>
      </c>
    </row>
    <row r="257" spans="1:5" ht="90" customHeight="1" x14ac:dyDescent="0.2">
      <c r="A257" s="8">
        <v>256</v>
      </c>
      <c r="B257" s="8" t="s">
        <v>388</v>
      </c>
      <c r="C257" s="11" t="s">
        <v>4</v>
      </c>
      <c r="D257" s="8" t="s">
        <v>912</v>
      </c>
      <c r="E257" s="10" t="s">
        <v>913</v>
      </c>
    </row>
    <row r="258" spans="1:5" ht="90" customHeight="1" x14ac:dyDescent="0.2">
      <c r="A258" s="8">
        <v>257</v>
      </c>
      <c r="B258" s="8" t="s">
        <v>389</v>
      </c>
      <c r="C258" s="11" t="s">
        <v>4</v>
      </c>
      <c r="D258" s="8" t="s">
        <v>914</v>
      </c>
      <c r="E258" s="10" t="s">
        <v>915</v>
      </c>
    </row>
    <row r="259" spans="1:5" ht="90" customHeight="1" x14ac:dyDescent="0.2">
      <c r="A259" s="8">
        <v>258</v>
      </c>
      <c r="B259" s="8" t="s">
        <v>390</v>
      </c>
      <c r="C259" s="11" t="s">
        <v>4</v>
      </c>
      <c r="D259" s="8" t="s">
        <v>916</v>
      </c>
      <c r="E259" s="10" t="s">
        <v>917</v>
      </c>
    </row>
    <row r="260" spans="1:5" ht="90" customHeight="1" x14ac:dyDescent="0.2">
      <c r="A260" s="8">
        <v>259</v>
      </c>
      <c r="B260" s="8" t="s">
        <v>391</v>
      </c>
      <c r="C260" s="11" t="s">
        <v>4</v>
      </c>
      <c r="D260" s="8" t="s">
        <v>918</v>
      </c>
      <c r="E260" s="10" t="s">
        <v>919</v>
      </c>
    </row>
    <row r="261" spans="1:5" ht="90" customHeight="1" x14ac:dyDescent="0.2">
      <c r="A261" s="8">
        <v>260</v>
      </c>
      <c r="B261" s="8" t="s">
        <v>392</v>
      </c>
      <c r="C261" s="11" t="s">
        <v>4</v>
      </c>
      <c r="D261" s="8" t="s">
        <v>920</v>
      </c>
      <c r="E261" s="10" t="s">
        <v>921</v>
      </c>
    </row>
    <row r="262" spans="1:5" ht="90" customHeight="1" x14ac:dyDescent="0.2">
      <c r="A262" s="8">
        <v>261</v>
      </c>
      <c r="B262" s="8" t="s">
        <v>393</v>
      </c>
      <c r="C262" s="11" t="s">
        <v>4</v>
      </c>
      <c r="D262" s="8" t="s">
        <v>922</v>
      </c>
      <c r="E262" s="10" t="s">
        <v>923</v>
      </c>
    </row>
    <row r="263" spans="1:5" ht="90" customHeight="1" x14ac:dyDescent="0.2">
      <c r="A263" s="8">
        <v>262</v>
      </c>
      <c r="B263" s="8" t="s">
        <v>394</v>
      </c>
      <c r="C263" s="11" t="s">
        <v>4</v>
      </c>
      <c r="D263" s="8" t="s">
        <v>924</v>
      </c>
      <c r="E263" s="10" t="s">
        <v>925</v>
      </c>
    </row>
    <row r="264" spans="1:5" ht="90" customHeight="1" x14ac:dyDescent="0.2">
      <c r="A264" s="8">
        <v>263</v>
      </c>
      <c r="B264" s="8" t="s">
        <v>395</v>
      </c>
      <c r="C264" s="11" t="s">
        <v>4</v>
      </c>
      <c r="D264" s="8" t="s">
        <v>926</v>
      </c>
      <c r="E264" s="10" t="s">
        <v>927</v>
      </c>
    </row>
    <row r="265" spans="1:5" ht="90" customHeight="1" x14ac:dyDescent="0.2">
      <c r="A265" s="8">
        <v>264</v>
      </c>
      <c r="B265" s="8" t="s">
        <v>396</v>
      </c>
      <c r="C265" s="11" t="s">
        <v>4</v>
      </c>
      <c r="D265" s="8" t="s">
        <v>928</v>
      </c>
      <c r="E265" s="10" t="s">
        <v>929</v>
      </c>
    </row>
    <row r="266" spans="1:5" ht="90" customHeight="1" x14ac:dyDescent="0.2">
      <c r="A266" s="8">
        <v>265</v>
      </c>
      <c r="B266" s="8" t="s">
        <v>397</v>
      </c>
      <c r="C266" s="11" t="s">
        <v>4</v>
      </c>
      <c r="D266" s="8" t="s">
        <v>930</v>
      </c>
      <c r="E266" s="10" t="s">
        <v>931</v>
      </c>
    </row>
    <row r="267" spans="1:5" ht="90" customHeight="1" x14ac:dyDescent="0.2">
      <c r="A267" s="8">
        <v>266</v>
      </c>
      <c r="B267" s="8" t="s">
        <v>398</v>
      </c>
      <c r="C267" s="11" t="s">
        <v>4</v>
      </c>
      <c r="D267" s="8" t="s">
        <v>932</v>
      </c>
      <c r="E267" s="10" t="s">
        <v>933</v>
      </c>
    </row>
    <row r="268" spans="1:5" ht="90" customHeight="1" x14ac:dyDescent="0.2">
      <c r="A268" s="8">
        <v>267</v>
      </c>
      <c r="B268" s="8" t="s">
        <v>399</v>
      </c>
      <c r="C268" s="11" t="s">
        <v>4</v>
      </c>
      <c r="D268" s="8" t="s">
        <v>934</v>
      </c>
      <c r="E268" s="10" t="s">
        <v>935</v>
      </c>
    </row>
    <row r="269" spans="1:5" ht="90" customHeight="1" x14ac:dyDescent="0.2">
      <c r="A269" s="8">
        <v>268</v>
      </c>
      <c r="B269" s="8" t="s">
        <v>400</v>
      </c>
      <c r="C269" s="11" t="s">
        <v>4</v>
      </c>
      <c r="D269" s="8" t="s">
        <v>936</v>
      </c>
      <c r="E269" s="10" t="s">
        <v>937</v>
      </c>
    </row>
    <row r="270" spans="1:5" ht="90" customHeight="1" x14ac:dyDescent="0.2">
      <c r="A270" s="8">
        <v>269</v>
      </c>
      <c r="B270" s="8" t="s">
        <v>401</v>
      </c>
      <c r="C270" s="11" t="s">
        <v>4</v>
      </c>
      <c r="D270" s="8" t="s">
        <v>938</v>
      </c>
      <c r="E270" s="10" t="s">
        <v>939</v>
      </c>
    </row>
    <row r="271" spans="1:5" ht="90" customHeight="1" x14ac:dyDescent="0.2">
      <c r="A271" s="8">
        <v>270</v>
      </c>
      <c r="B271" s="8" t="s">
        <v>402</v>
      </c>
      <c r="C271" s="11" t="s">
        <v>4</v>
      </c>
      <c r="D271" s="8" t="s">
        <v>672</v>
      </c>
      <c r="E271" s="10" t="s">
        <v>673</v>
      </c>
    </row>
    <row r="272" spans="1:5" ht="90" customHeight="1" x14ac:dyDescent="0.2">
      <c r="A272" s="8">
        <v>271</v>
      </c>
      <c r="B272" s="8" t="s">
        <v>403</v>
      </c>
      <c r="C272" s="11" t="s">
        <v>4</v>
      </c>
      <c r="D272" s="8" t="s">
        <v>446</v>
      </c>
      <c r="E272" s="10" t="s">
        <v>940</v>
      </c>
    </row>
    <row r="273" spans="1:5" ht="90" customHeight="1" x14ac:dyDescent="0.2">
      <c r="A273" s="8">
        <v>272</v>
      </c>
      <c r="B273" s="8" t="s">
        <v>404</v>
      </c>
      <c r="C273" s="11" t="s">
        <v>4</v>
      </c>
      <c r="D273" s="8" t="s">
        <v>883</v>
      </c>
      <c r="E273" s="10" t="s">
        <v>941</v>
      </c>
    </row>
    <row r="274" spans="1:5" ht="90" customHeight="1" x14ac:dyDescent="0.2">
      <c r="A274" s="8">
        <v>273</v>
      </c>
      <c r="B274" s="8" t="s">
        <v>406</v>
      </c>
      <c r="C274" s="11" t="s">
        <v>4</v>
      </c>
      <c r="D274" s="8" t="s">
        <v>942</v>
      </c>
      <c r="E274" s="10" t="s">
        <v>943</v>
      </c>
    </row>
    <row r="275" spans="1:5" ht="90" customHeight="1" x14ac:dyDescent="0.2">
      <c r="A275" s="8">
        <v>274</v>
      </c>
      <c r="B275" s="8" t="s">
        <v>407</v>
      </c>
      <c r="C275" s="11" t="s">
        <v>4</v>
      </c>
      <c r="D275" s="8" t="s">
        <v>813</v>
      </c>
      <c r="E275" s="10" t="s">
        <v>944</v>
      </c>
    </row>
    <row r="276" spans="1:5" ht="90" customHeight="1" x14ac:dyDescent="0.2">
      <c r="A276" s="8">
        <v>275</v>
      </c>
      <c r="B276" s="8" t="s">
        <v>408</v>
      </c>
      <c r="C276" s="11" t="s">
        <v>4</v>
      </c>
      <c r="D276" s="8" t="s">
        <v>945</v>
      </c>
      <c r="E276" s="10" t="s">
        <v>946</v>
      </c>
    </row>
    <row r="277" spans="1:5" ht="90" customHeight="1" x14ac:dyDescent="0.2">
      <c r="A277" s="8">
        <v>276</v>
      </c>
      <c r="B277" s="8" t="s">
        <v>409</v>
      </c>
      <c r="C277" s="11" t="s">
        <v>4</v>
      </c>
      <c r="D277" s="8" t="s">
        <v>947</v>
      </c>
      <c r="E277" s="10" t="s">
        <v>948</v>
      </c>
    </row>
    <row r="278" spans="1:5" ht="90" customHeight="1" x14ac:dyDescent="0.2">
      <c r="A278" s="8">
        <v>277</v>
      </c>
      <c r="B278" s="8" t="s">
        <v>410</v>
      </c>
      <c r="C278" s="11" t="s">
        <v>4</v>
      </c>
      <c r="D278" s="8" t="s">
        <v>603</v>
      </c>
      <c r="E278" s="10" t="s">
        <v>949</v>
      </c>
    </row>
    <row r="279" spans="1:5" ht="90" customHeight="1" x14ac:dyDescent="0.2">
      <c r="A279" s="8">
        <v>278</v>
      </c>
      <c r="B279" s="8" t="s">
        <v>411</v>
      </c>
      <c r="C279" s="11" t="s">
        <v>4</v>
      </c>
      <c r="D279" s="8" t="s">
        <v>950</v>
      </c>
      <c r="E279" s="10" t="s">
        <v>951</v>
      </c>
    </row>
    <row r="280" spans="1:5" ht="90" customHeight="1" x14ac:dyDescent="0.2">
      <c r="A280" s="8">
        <v>279</v>
      </c>
      <c r="B280" s="8" t="s">
        <v>412</v>
      </c>
      <c r="C280" s="12" t="s">
        <v>5</v>
      </c>
      <c r="D280" s="8" t="s">
        <v>484</v>
      </c>
      <c r="E280" s="10" t="s">
        <v>952</v>
      </c>
    </row>
    <row r="281" spans="1:5" ht="90" customHeight="1" x14ac:dyDescent="0.2">
      <c r="A281" s="8">
        <v>280</v>
      </c>
      <c r="B281" s="8" t="s">
        <v>413</v>
      </c>
      <c r="C281" s="12" t="s">
        <v>5</v>
      </c>
      <c r="D281" s="8" t="s">
        <v>450</v>
      </c>
      <c r="E281" s="10" t="s">
        <v>953</v>
      </c>
    </row>
    <row r="282" spans="1:5" ht="90" customHeight="1" x14ac:dyDescent="0.2">
      <c r="A282" s="8">
        <v>281</v>
      </c>
      <c r="B282" s="8" t="s">
        <v>414</v>
      </c>
      <c r="C282" s="12" t="s">
        <v>5</v>
      </c>
      <c r="D282" s="8" t="s">
        <v>444</v>
      </c>
      <c r="E282" s="10" t="s">
        <v>954</v>
      </c>
    </row>
    <row r="283" spans="1:5" ht="90" customHeight="1" x14ac:dyDescent="0.2">
      <c r="A283" s="8">
        <v>282</v>
      </c>
      <c r="B283" s="8" t="s">
        <v>416</v>
      </c>
      <c r="C283" s="12" t="s">
        <v>5</v>
      </c>
      <c r="D283" s="8" t="s">
        <v>679</v>
      </c>
      <c r="E283" s="10" t="s">
        <v>955</v>
      </c>
    </row>
    <row r="284" spans="1:5" ht="90" customHeight="1" x14ac:dyDescent="0.2">
      <c r="A284" s="8">
        <v>283</v>
      </c>
      <c r="B284" s="8" t="s">
        <v>417</v>
      </c>
      <c r="C284" s="12" t="s">
        <v>5</v>
      </c>
      <c r="D284" s="8" t="s">
        <v>448</v>
      </c>
      <c r="E284" s="10" t="s">
        <v>956</v>
      </c>
    </row>
    <row r="285" spans="1:5" ht="90" customHeight="1" x14ac:dyDescent="0.2">
      <c r="A285" s="8">
        <v>284</v>
      </c>
      <c r="B285" s="8" t="s">
        <v>418</v>
      </c>
      <c r="C285" s="12" t="s">
        <v>5</v>
      </c>
      <c r="D285" s="8" t="s">
        <v>957</v>
      </c>
      <c r="E285" s="10" t="s">
        <v>958</v>
      </c>
    </row>
    <row r="286" spans="1:5" ht="90" customHeight="1" x14ac:dyDescent="0.2">
      <c r="A286" s="8">
        <v>285</v>
      </c>
      <c r="B286" s="8" t="s">
        <v>419</v>
      </c>
      <c r="C286" s="12" t="s">
        <v>5</v>
      </c>
      <c r="D286" s="8" t="s">
        <v>959</v>
      </c>
      <c r="E286" s="10" t="s">
        <v>960</v>
      </c>
    </row>
    <row r="287" spans="1:5" ht="90" customHeight="1" x14ac:dyDescent="0.2">
      <c r="A287" s="8">
        <v>286</v>
      </c>
      <c r="B287" s="8" t="s">
        <v>420</v>
      </c>
      <c r="C287" s="12" t="s">
        <v>5</v>
      </c>
      <c r="D287" s="8" t="s">
        <v>961</v>
      </c>
      <c r="E287" s="10" t="s">
        <v>962</v>
      </c>
    </row>
    <row r="288" spans="1:5" ht="90" customHeight="1" x14ac:dyDescent="0.2">
      <c r="A288" s="8">
        <v>287</v>
      </c>
      <c r="B288" s="8" t="s">
        <v>421</v>
      </c>
      <c r="C288" s="12" t="s">
        <v>5</v>
      </c>
      <c r="D288" s="8" t="s">
        <v>963</v>
      </c>
      <c r="E288" s="10" t="s">
        <v>964</v>
      </c>
    </row>
    <row r="289" spans="1:5" ht="90" customHeight="1" x14ac:dyDescent="0.2">
      <c r="A289" s="8">
        <v>288</v>
      </c>
      <c r="B289" s="8" t="s">
        <v>422</v>
      </c>
      <c r="C289" s="12" t="s">
        <v>5</v>
      </c>
      <c r="D289" s="8" t="s">
        <v>965</v>
      </c>
      <c r="E289" s="10" t="s">
        <v>966</v>
      </c>
    </row>
    <row r="290" spans="1:5" ht="90" customHeight="1" x14ac:dyDescent="0.2">
      <c r="A290" s="8">
        <v>289</v>
      </c>
      <c r="B290" s="8" t="s">
        <v>423</v>
      </c>
      <c r="C290" s="12" t="s">
        <v>5</v>
      </c>
      <c r="D290" s="8" t="s">
        <v>967</v>
      </c>
      <c r="E290" s="10" t="s">
        <v>968</v>
      </c>
    </row>
    <row r="291" spans="1:5" ht="90" customHeight="1" x14ac:dyDescent="0.2">
      <c r="A291" s="8">
        <v>290</v>
      </c>
      <c r="B291" s="8" t="s">
        <v>424</v>
      </c>
      <c r="C291" s="12" t="s">
        <v>5</v>
      </c>
      <c r="D291" s="8" t="s">
        <v>969</v>
      </c>
      <c r="E291" s="10" t="s">
        <v>970</v>
      </c>
    </row>
    <row r="292" spans="1:5" ht="90" customHeight="1" x14ac:dyDescent="0.2">
      <c r="A292" s="8">
        <v>291</v>
      </c>
      <c r="B292" s="8" t="s">
        <v>425</v>
      </c>
      <c r="C292" s="12" t="s">
        <v>5</v>
      </c>
      <c r="D292" s="8" t="s">
        <v>971</v>
      </c>
      <c r="E292" s="10" t="s">
        <v>972</v>
      </c>
    </row>
    <row r="293" spans="1:5" ht="90" customHeight="1" x14ac:dyDescent="0.2">
      <c r="A293" s="8">
        <v>292</v>
      </c>
      <c r="B293" s="8" t="s">
        <v>426</v>
      </c>
      <c r="C293" s="12" t="s">
        <v>5</v>
      </c>
      <c r="D293" s="8" t="s">
        <v>973</v>
      </c>
      <c r="E293" s="10" t="s">
        <v>974</v>
      </c>
    </row>
    <row r="294" spans="1:5" ht="90" customHeight="1" x14ac:dyDescent="0.2">
      <c r="A294" s="8">
        <v>293</v>
      </c>
      <c r="B294" s="8" t="s">
        <v>427</v>
      </c>
      <c r="C294" s="12" t="s">
        <v>5</v>
      </c>
      <c r="D294" s="8" t="s">
        <v>825</v>
      </c>
      <c r="E294" s="10" t="s">
        <v>975</v>
      </c>
    </row>
    <row r="295" spans="1:5" ht="90" customHeight="1" x14ac:dyDescent="0.2">
      <c r="A295" s="8">
        <v>294</v>
      </c>
      <c r="B295" s="8" t="s">
        <v>428</v>
      </c>
      <c r="C295" s="12" t="s">
        <v>5</v>
      </c>
      <c r="D295" s="8" t="s">
        <v>976</v>
      </c>
      <c r="E295" s="10" t="s">
        <v>977</v>
      </c>
    </row>
    <row r="296" spans="1:5" ht="90" customHeight="1" x14ac:dyDescent="0.2">
      <c r="A296" s="8">
        <v>295</v>
      </c>
      <c r="B296" s="8" t="s">
        <v>429</v>
      </c>
      <c r="C296" s="12" t="s">
        <v>5</v>
      </c>
      <c r="D296" s="8" t="s">
        <v>978</v>
      </c>
      <c r="E296" s="10" t="s">
        <v>979</v>
      </c>
    </row>
    <row r="297" spans="1:5" ht="90" customHeight="1" x14ac:dyDescent="0.2">
      <c r="A297" s="8">
        <v>296</v>
      </c>
      <c r="B297" s="8" t="s">
        <v>430</v>
      </c>
      <c r="C297" s="12" t="s">
        <v>5</v>
      </c>
      <c r="D297" s="8" t="s">
        <v>980</v>
      </c>
      <c r="E297" s="10" t="s">
        <v>981</v>
      </c>
    </row>
    <row r="298" spans="1:5" ht="90" customHeight="1" x14ac:dyDescent="0.2">
      <c r="A298" s="8">
        <v>297</v>
      </c>
      <c r="B298" s="8" t="s">
        <v>431</v>
      </c>
      <c r="C298" s="12" t="s">
        <v>5</v>
      </c>
      <c r="D298" s="8" t="s">
        <v>982</v>
      </c>
      <c r="E298" s="10" t="s">
        <v>983</v>
      </c>
    </row>
    <row r="299" spans="1:5" ht="90" customHeight="1" x14ac:dyDescent="0.2">
      <c r="A299" s="8">
        <v>298</v>
      </c>
      <c r="B299" s="8" t="s">
        <v>432</v>
      </c>
      <c r="C299" s="12" t="s">
        <v>5</v>
      </c>
      <c r="D299" s="8" t="s">
        <v>984</v>
      </c>
      <c r="E299" s="10" t="s">
        <v>985</v>
      </c>
    </row>
    <row r="300" spans="1:5" ht="90" customHeight="1" x14ac:dyDescent="0.2">
      <c r="A300" s="8">
        <v>299</v>
      </c>
      <c r="B300" s="8" t="s">
        <v>433</v>
      </c>
      <c r="C300" s="12" t="s">
        <v>5</v>
      </c>
      <c r="D300" s="8" t="s">
        <v>986</v>
      </c>
      <c r="E300" s="10" t="s">
        <v>987</v>
      </c>
    </row>
    <row r="301" spans="1:5" ht="90" customHeight="1" x14ac:dyDescent="0.2">
      <c r="A301" s="8">
        <v>300</v>
      </c>
      <c r="B301" s="8" t="s">
        <v>434</v>
      </c>
      <c r="C301" s="12" t="s">
        <v>5</v>
      </c>
      <c r="D301" s="8" t="s">
        <v>654</v>
      </c>
      <c r="E301" s="10" t="s">
        <v>988</v>
      </c>
    </row>
    <row r="302" spans="1:5" ht="90" customHeight="1" x14ac:dyDescent="0.2">
      <c r="A302" s="8">
        <v>301</v>
      </c>
      <c r="B302" s="8" t="s">
        <v>435</v>
      </c>
      <c r="C302" s="12" t="s">
        <v>5</v>
      </c>
      <c r="D302" s="8" t="s">
        <v>989</v>
      </c>
      <c r="E302" s="10" t="s">
        <v>990</v>
      </c>
    </row>
    <row r="303" spans="1:5" ht="90" customHeight="1" x14ac:dyDescent="0.2">
      <c r="A303" s="8">
        <v>302</v>
      </c>
      <c r="B303" s="8" t="s">
        <v>436</v>
      </c>
      <c r="C303" s="12" t="s">
        <v>5</v>
      </c>
      <c r="D303" s="8" t="s">
        <v>991</v>
      </c>
      <c r="E303" s="10" t="s">
        <v>992</v>
      </c>
    </row>
    <row r="304" spans="1:5" ht="90" customHeight="1" x14ac:dyDescent="0.2">
      <c r="A304" s="8">
        <v>303</v>
      </c>
      <c r="B304" s="8" t="s">
        <v>437</v>
      </c>
      <c r="C304" s="12" t="s">
        <v>5</v>
      </c>
      <c r="D304" s="8" t="s">
        <v>993</v>
      </c>
      <c r="E304" s="10" t="s">
        <v>994</v>
      </c>
    </row>
    <row r="305" spans="1:5" ht="90" customHeight="1" x14ac:dyDescent="0.2">
      <c r="A305" s="8">
        <v>304</v>
      </c>
      <c r="B305" s="8" t="s">
        <v>438</v>
      </c>
      <c r="C305" s="12" t="s">
        <v>5</v>
      </c>
      <c r="D305" s="8" t="s">
        <v>995</v>
      </c>
      <c r="E305" s="10" t="s">
        <v>996</v>
      </c>
    </row>
    <row r="306" spans="1:5" ht="90" customHeight="1" x14ac:dyDescent="0.2">
      <c r="A306" s="8">
        <v>305</v>
      </c>
      <c r="B306" s="8" t="s">
        <v>439</v>
      </c>
      <c r="C306" s="12" t="s">
        <v>5</v>
      </c>
      <c r="D306" s="8" t="s">
        <v>997</v>
      </c>
      <c r="E306" s="10" t="s">
        <v>998</v>
      </c>
    </row>
  </sheetData>
  <autoFilter ref="A1:E30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60" customWidth="1"/>
    <col min="3" max="3" width="14" customWidth="1"/>
    <col min="4" max="4" width="22" customWidth="1"/>
  </cols>
  <sheetData>
    <row r="1" spans="1:4" x14ac:dyDescent="0.2">
      <c r="A1" s="3" t="s">
        <v>20</v>
      </c>
      <c r="B1" s="3" t="s">
        <v>21</v>
      </c>
      <c r="C1" s="3" t="s">
        <v>999</v>
      </c>
      <c r="D1" s="3" t="s">
        <v>1000</v>
      </c>
    </row>
    <row r="2" spans="1:4" x14ac:dyDescent="0.2">
      <c r="A2" s="4">
        <v>1</v>
      </c>
      <c r="B2" s="4" t="s">
        <v>1001</v>
      </c>
      <c r="C2" s="13" t="s">
        <v>7</v>
      </c>
      <c r="D2" s="4"/>
    </row>
    <row r="3" spans="1:4" x14ac:dyDescent="0.2">
      <c r="A3" s="4">
        <v>2</v>
      </c>
      <c r="B3" s="4" t="s">
        <v>1002</v>
      </c>
      <c r="C3" s="13" t="s">
        <v>7</v>
      </c>
      <c r="D3" s="4"/>
    </row>
    <row r="4" spans="1:4" x14ac:dyDescent="0.2">
      <c r="A4" s="4">
        <v>3</v>
      </c>
      <c r="B4" s="4" t="s">
        <v>1003</v>
      </c>
      <c r="C4" s="14" t="s">
        <v>8</v>
      </c>
      <c r="D4" s="4"/>
    </row>
    <row r="5" spans="1:4" x14ac:dyDescent="0.2">
      <c r="A5" s="4">
        <v>4</v>
      </c>
      <c r="B5" s="4" t="s">
        <v>25</v>
      </c>
      <c r="C5" s="5" t="s">
        <v>9</v>
      </c>
      <c r="D5" s="4" t="s">
        <v>1004</v>
      </c>
    </row>
    <row r="6" spans="1:4" x14ac:dyDescent="0.2">
      <c r="A6" s="4">
        <v>5</v>
      </c>
      <c r="B6" s="4" t="s">
        <v>35</v>
      </c>
      <c r="C6" s="5" t="s">
        <v>9</v>
      </c>
      <c r="D6" s="4" t="s">
        <v>1005</v>
      </c>
    </row>
    <row r="7" spans="1:4" x14ac:dyDescent="0.2">
      <c r="A7" s="4">
        <v>6</v>
      </c>
      <c r="B7" s="4" t="s">
        <v>39</v>
      </c>
      <c r="C7" s="5" t="s">
        <v>9</v>
      </c>
      <c r="D7" s="4" t="s">
        <v>1006</v>
      </c>
    </row>
    <row r="8" spans="1:4" x14ac:dyDescent="0.2">
      <c r="A8" s="4">
        <v>7</v>
      </c>
      <c r="B8" s="4" t="s">
        <v>45</v>
      </c>
      <c r="C8" s="5" t="s">
        <v>9</v>
      </c>
      <c r="D8" s="4" t="s">
        <v>1005</v>
      </c>
    </row>
    <row r="9" spans="1:4" x14ac:dyDescent="0.2">
      <c r="A9" s="4">
        <v>8</v>
      </c>
      <c r="B9" s="4" t="s">
        <v>47</v>
      </c>
      <c r="C9" s="5" t="s">
        <v>9</v>
      </c>
      <c r="D9" s="4" t="s">
        <v>1007</v>
      </c>
    </row>
    <row r="10" spans="1:4" x14ac:dyDescent="0.2">
      <c r="A10" s="4">
        <v>9</v>
      </c>
      <c r="B10" s="4" t="s">
        <v>61</v>
      </c>
      <c r="C10" s="5" t="s">
        <v>9</v>
      </c>
      <c r="D10" s="4" t="s">
        <v>1007</v>
      </c>
    </row>
    <row r="11" spans="1:4" x14ac:dyDescent="0.2">
      <c r="A11" s="4">
        <v>10</v>
      </c>
      <c r="B11" s="4" t="s">
        <v>80</v>
      </c>
      <c r="C11" s="5" t="s">
        <v>9</v>
      </c>
      <c r="D11" s="4" t="s">
        <v>1007</v>
      </c>
    </row>
    <row r="12" spans="1:4" x14ac:dyDescent="0.2">
      <c r="A12" s="4">
        <v>11</v>
      </c>
      <c r="B12" s="4" t="s">
        <v>82</v>
      </c>
      <c r="C12" s="5" t="s">
        <v>9</v>
      </c>
      <c r="D12" s="4" t="s">
        <v>1004</v>
      </c>
    </row>
    <row r="13" spans="1:4" x14ac:dyDescent="0.2">
      <c r="A13" s="4">
        <v>12</v>
      </c>
      <c r="B13" s="4" t="s">
        <v>120</v>
      </c>
      <c r="C13" s="5" t="s">
        <v>9</v>
      </c>
      <c r="D13" s="4" t="s">
        <v>1005</v>
      </c>
    </row>
    <row r="14" spans="1:4" x14ac:dyDescent="0.2">
      <c r="A14" s="4">
        <v>13</v>
      </c>
      <c r="B14" s="4" t="s">
        <v>206</v>
      </c>
      <c r="C14" s="5" t="s">
        <v>9</v>
      </c>
      <c r="D14" s="4" t="s">
        <v>1004</v>
      </c>
    </row>
    <row r="15" spans="1:4" x14ac:dyDescent="0.2">
      <c r="A15" s="4">
        <v>14</v>
      </c>
      <c r="B15" s="4" t="s">
        <v>210</v>
      </c>
      <c r="C15" s="5" t="s">
        <v>9</v>
      </c>
      <c r="D15" s="4" t="s">
        <v>1008</v>
      </c>
    </row>
    <row r="16" spans="1:4" x14ac:dyDescent="0.2">
      <c r="A16" s="4">
        <v>15</v>
      </c>
      <c r="B16" s="4" t="s">
        <v>216</v>
      </c>
      <c r="C16" s="5" t="s">
        <v>9</v>
      </c>
      <c r="D16" s="4" t="s">
        <v>1004</v>
      </c>
    </row>
    <row r="17" spans="1:4" x14ac:dyDescent="0.2">
      <c r="A17" s="4">
        <v>16</v>
      </c>
      <c r="B17" s="4" t="s">
        <v>219</v>
      </c>
      <c r="C17" s="5" t="s">
        <v>9</v>
      </c>
      <c r="D17" s="4" t="s">
        <v>1005</v>
      </c>
    </row>
    <row r="18" spans="1:4" x14ac:dyDescent="0.2">
      <c r="A18" s="4">
        <v>17</v>
      </c>
      <c r="B18" s="4" t="s">
        <v>225</v>
      </c>
      <c r="C18" s="5" t="s">
        <v>9</v>
      </c>
      <c r="D18" s="4" t="s">
        <v>1005</v>
      </c>
    </row>
    <row r="19" spans="1:4" x14ac:dyDescent="0.2">
      <c r="A19" s="4">
        <v>18</v>
      </c>
      <c r="B19" s="4" t="s">
        <v>236</v>
      </c>
      <c r="C19" s="5" t="s">
        <v>9</v>
      </c>
      <c r="D19" s="4" t="s">
        <v>1005</v>
      </c>
    </row>
    <row r="20" spans="1:4" x14ac:dyDescent="0.2">
      <c r="A20" s="4">
        <v>19</v>
      </c>
      <c r="B20" s="4" t="s">
        <v>242</v>
      </c>
      <c r="C20" s="5" t="s">
        <v>9</v>
      </c>
      <c r="D20" s="4" t="s">
        <v>1004</v>
      </c>
    </row>
    <row r="21" spans="1:4" x14ac:dyDescent="0.2">
      <c r="A21" s="4">
        <v>20</v>
      </c>
      <c r="B21" s="4" t="s">
        <v>248</v>
      </c>
      <c r="C21" s="5" t="s">
        <v>9</v>
      </c>
      <c r="D21" s="4" t="s">
        <v>1004</v>
      </c>
    </row>
    <row r="22" spans="1:4" x14ac:dyDescent="0.2">
      <c r="A22" s="4">
        <v>21</v>
      </c>
      <c r="B22" s="4" t="s">
        <v>255</v>
      </c>
      <c r="C22" s="5" t="s">
        <v>9</v>
      </c>
      <c r="D22" s="4" t="s">
        <v>1004</v>
      </c>
    </row>
    <row r="23" spans="1:4" x14ac:dyDescent="0.2">
      <c r="A23" s="4">
        <v>22</v>
      </c>
      <c r="B23" s="4" t="s">
        <v>262</v>
      </c>
      <c r="C23" s="5" t="s">
        <v>9</v>
      </c>
      <c r="D23" s="4" t="s">
        <v>1004</v>
      </c>
    </row>
    <row r="24" spans="1:4" x14ac:dyDescent="0.2">
      <c r="A24" s="4">
        <v>23</v>
      </c>
      <c r="B24" s="4" t="s">
        <v>358</v>
      </c>
      <c r="C24" s="5" t="s">
        <v>9</v>
      </c>
      <c r="D24" s="4" t="s">
        <v>1007</v>
      </c>
    </row>
    <row r="25" spans="1:4" x14ac:dyDescent="0.2">
      <c r="A25" s="4">
        <v>24</v>
      </c>
      <c r="B25" s="4" t="s">
        <v>361</v>
      </c>
      <c r="C25" s="5" t="s">
        <v>9</v>
      </c>
      <c r="D25" s="4" t="s">
        <v>1005</v>
      </c>
    </row>
    <row r="26" spans="1:4" x14ac:dyDescent="0.2">
      <c r="A26" s="4">
        <v>25</v>
      </c>
      <c r="B26" s="4" t="s">
        <v>363</v>
      </c>
      <c r="C26" s="5" t="s">
        <v>9</v>
      </c>
      <c r="D26" s="4" t="s">
        <v>1004</v>
      </c>
    </row>
    <row r="27" spans="1:4" x14ac:dyDescent="0.2">
      <c r="A27" s="4">
        <v>26</v>
      </c>
      <c r="B27" s="4" t="s">
        <v>366</v>
      </c>
      <c r="C27" s="5" t="s">
        <v>9</v>
      </c>
      <c r="D27" s="4" t="s">
        <v>1005</v>
      </c>
    </row>
    <row r="28" spans="1:4" x14ac:dyDescent="0.2">
      <c r="A28" s="4">
        <v>27</v>
      </c>
      <c r="B28" s="4" t="s">
        <v>373</v>
      </c>
      <c r="C28" s="5" t="s">
        <v>9</v>
      </c>
      <c r="D28" s="4" t="s">
        <v>1005</v>
      </c>
    </row>
    <row r="29" spans="1:4" x14ac:dyDescent="0.2">
      <c r="A29" s="4">
        <v>28</v>
      </c>
      <c r="B29" s="4" t="s">
        <v>413</v>
      </c>
      <c r="C29" s="5" t="s">
        <v>9</v>
      </c>
      <c r="D29" s="4" t="s">
        <v>1008</v>
      </c>
    </row>
    <row r="30" spans="1:4" x14ac:dyDescent="0.2">
      <c r="A30" s="4">
        <v>29</v>
      </c>
      <c r="B30" s="4" t="s">
        <v>414</v>
      </c>
      <c r="C30" s="5" t="s">
        <v>9</v>
      </c>
      <c r="D30" s="4" t="s">
        <v>1008</v>
      </c>
    </row>
    <row r="31" spans="1:4" x14ac:dyDescent="0.2">
      <c r="A31" s="4">
        <v>30</v>
      </c>
      <c r="B31" s="4" t="s">
        <v>430</v>
      </c>
      <c r="C31" s="15" t="s">
        <v>12</v>
      </c>
      <c r="D31" s="4" t="s">
        <v>1009</v>
      </c>
    </row>
    <row r="32" spans="1:4" x14ac:dyDescent="0.2">
      <c r="A32" s="4">
        <v>31</v>
      </c>
      <c r="B32" s="4" t="s">
        <v>431</v>
      </c>
      <c r="C32" s="15" t="s">
        <v>12</v>
      </c>
      <c r="D32" s="4" t="s">
        <v>1009</v>
      </c>
    </row>
    <row r="33" spans="1:4" x14ac:dyDescent="0.2">
      <c r="A33" s="4">
        <v>32</v>
      </c>
      <c r="B33" s="4" t="s">
        <v>432</v>
      </c>
      <c r="C33" s="5" t="s">
        <v>9</v>
      </c>
      <c r="D33" s="4" t="s">
        <v>1004</v>
      </c>
    </row>
    <row r="34" spans="1:4" x14ac:dyDescent="0.2">
      <c r="A34" s="4">
        <v>33</v>
      </c>
      <c r="B34" s="4" t="s">
        <v>374</v>
      </c>
      <c r="C34" s="5" t="s">
        <v>9</v>
      </c>
      <c r="D34" s="4" t="s">
        <v>1005</v>
      </c>
    </row>
    <row r="35" spans="1:4" x14ac:dyDescent="0.2">
      <c r="A35" s="4">
        <v>34</v>
      </c>
      <c r="B35" s="4" t="s">
        <v>1010</v>
      </c>
      <c r="C35" s="16" t="s">
        <v>10</v>
      </c>
      <c r="D35" s="4" t="s">
        <v>1011</v>
      </c>
    </row>
    <row r="36" spans="1:4" x14ac:dyDescent="0.2">
      <c r="A36" s="4">
        <v>35</v>
      </c>
      <c r="B36" s="4" t="s">
        <v>1012</v>
      </c>
      <c r="C36" s="16" t="s">
        <v>10</v>
      </c>
      <c r="D36" s="4" t="s">
        <v>1013</v>
      </c>
    </row>
    <row r="37" spans="1:4" x14ac:dyDescent="0.2">
      <c r="A37" s="4">
        <v>36</v>
      </c>
      <c r="B37" s="4" t="s">
        <v>1014</v>
      </c>
      <c r="C37" s="16" t="s">
        <v>10</v>
      </c>
      <c r="D37" s="4" t="s">
        <v>1015</v>
      </c>
    </row>
    <row r="38" spans="1:4" x14ac:dyDescent="0.2">
      <c r="A38" s="4">
        <v>37</v>
      </c>
      <c r="B38" s="4" t="s">
        <v>1016</v>
      </c>
      <c r="C38" s="16" t="s">
        <v>10</v>
      </c>
      <c r="D38" s="4" t="s">
        <v>1005</v>
      </c>
    </row>
    <row r="39" spans="1:4" x14ac:dyDescent="0.2">
      <c r="A39" s="4">
        <v>38</v>
      </c>
      <c r="B39" s="4" t="s">
        <v>1017</v>
      </c>
      <c r="C39" s="16" t="s">
        <v>10</v>
      </c>
      <c r="D39" s="4" t="s">
        <v>1018</v>
      </c>
    </row>
    <row r="40" spans="1:4" x14ac:dyDescent="0.2">
      <c r="A40" s="4">
        <v>39</v>
      </c>
      <c r="B40" s="4" t="s">
        <v>1019</v>
      </c>
      <c r="C40" s="16" t="s">
        <v>10</v>
      </c>
      <c r="D40" s="4" t="s">
        <v>1005</v>
      </c>
    </row>
    <row r="41" spans="1:4" x14ac:dyDescent="0.2">
      <c r="A41" s="4">
        <v>40</v>
      </c>
      <c r="B41" s="4" t="s">
        <v>1020</v>
      </c>
      <c r="C41" s="16" t="s">
        <v>10</v>
      </c>
      <c r="D41" s="4" t="s">
        <v>1021</v>
      </c>
    </row>
    <row r="42" spans="1:4" x14ac:dyDescent="0.2">
      <c r="A42" s="4">
        <v>41</v>
      </c>
      <c r="B42" s="4" t="s">
        <v>1022</v>
      </c>
      <c r="C42" s="16" t="s">
        <v>10</v>
      </c>
      <c r="D42" s="4" t="s">
        <v>1004</v>
      </c>
    </row>
    <row r="43" spans="1:4" x14ac:dyDescent="0.2">
      <c r="A43" s="4">
        <v>42</v>
      </c>
      <c r="B43" s="4" t="s">
        <v>1023</v>
      </c>
      <c r="C43" s="16" t="s">
        <v>10</v>
      </c>
      <c r="D43" s="4" t="s">
        <v>1024</v>
      </c>
    </row>
    <row r="44" spans="1:4" x14ac:dyDescent="0.2">
      <c r="A44" s="4">
        <v>43</v>
      </c>
      <c r="B44" s="4" t="s">
        <v>1025</v>
      </c>
      <c r="C44" s="16" t="s">
        <v>10</v>
      </c>
      <c r="D44" s="4" t="s">
        <v>1005</v>
      </c>
    </row>
    <row r="45" spans="1:4" x14ac:dyDescent="0.2">
      <c r="A45" s="4">
        <v>44</v>
      </c>
      <c r="B45" s="4" t="s">
        <v>1026</v>
      </c>
      <c r="C45" s="16" t="s">
        <v>10</v>
      </c>
      <c r="D45" s="4" t="s">
        <v>1027</v>
      </c>
    </row>
    <row r="46" spans="1:4" x14ac:dyDescent="0.2">
      <c r="A46" s="4">
        <v>45</v>
      </c>
      <c r="B46" s="4" t="s">
        <v>1028</v>
      </c>
      <c r="C46" s="16" t="s">
        <v>10</v>
      </c>
      <c r="D46" s="4" t="s">
        <v>1005</v>
      </c>
    </row>
    <row r="47" spans="1:4" x14ac:dyDescent="0.2">
      <c r="A47" s="4">
        <v>46</v>
      </c>
      <c r="B47" s="4" t="s">
        <v>1029</v>
      </c>
      <c r="C47" s="16" t="s">
        <v>10</v>
      </c>
      <c r="D47" s="4" t="s">
        <v>1030</v>
      </c>
    </row>
    <row r="48" spans="1:4" x14ac:dyDescent="0.2">
      <c r="A48" s="4">
        <v>47</v>
      </c>
      <c r="B48" s="4" t="s">
        <v>1031</v>
      </c>
      <c r="C48" s="16" t="s">
        <v>10</v>
      </c>
      <c r="D48" s="4" t="s">
        <v>1030</v>
      </c>
    </row>
    <row r="49" spans="1:4" x14ac:dyDescent="0.2">
      <c r="A49" s="4">
        <v>48</v>
      </c>
      <c r="B49" s="4" t="s">
        <v>1032</v>
      </c>
      <c r="C49" s="16" t="s">
        <v>10</v>
      </c>
      <c r="D49" s="4" t="s">
        <v>1033</v>
      </c>
    </row>
    <row r="50" spans="1:4" x14ac:dyDescent="0.2">
      <c r="A50" s="4">
        <v>49</v>
      </c>
      <c r="B50" s="4" t="s">
        <v>1034</v>
      </c>
      <c r="C50" s="17" t="s">
        <v>11</v>
      </c>
      <c r="D50" s="4" t="s">
        <v>1035</v>
      </c>
    </row>
    <row r="51" spans="1:4" x14ac:dyDescent="0.2">
      <c r="A51" s="4">
        <v>50</v>
      </c>
      <c r="B51" s="4" t="s">
        <v>1036</v>
      </c>
      <c r="C51" s="17" t="s">
        <v>11</v>
      </c>
      <c r="D51" s="4" t="s">
        <v>1035</v>
      </c>
    </row>
    <row r="52" spans="1:4" x14ac:dyDescent="0.2">
      <c r="A52" s="4">
        <v>51</v>
      </c>
      <c r="B52" s="4" t="s">
        <v>1037</v>
      </c>
      <c r="C52" s="17" t="s">
        <v>11</v>
      </c>
      <c r="D52" s="4" t="s">
        <v>1035</v>
      </c>
    </row>
    <row r="53" spans="1:4" x14ac:dyDescent="0.2">
      <c r="A53" s="4">
        <v>52</v>
      </c>
      <c r="B53" s="4" t="s">
        <v>1038</v>
      </c>
      <c r="C53" s="17" t="s">
        <v>11</v>
      </c>
      <c r="D53" s="4" t="s">
        <v>1035</v>
      </c>
    </row>
    <row r="54" spans="1:4" x14ac:dyDescent="0.2">
      <c r="A54" s="4">
        <v>53</v>
      </c>
      <c r="B54" s="4" t="s">
        <v>1039</v>
      </c>
      <c r="C54" s="17" t="s">
        <v>11</v>
      </c>
      <c r="D54" s="4" t="s">
        <v>1040</v>
      </c>
    </row>
    <row r="55" spans="1:4" x14ac:dyDescent="0.2">
      <c r="A55" s="4">
        <v>54</v>
      </c>
      <c r="B55" s="4" t="s">
        <v>1041</v>
      </c>
      <c r="C55" s="17" t="s">
        <v>11</v>
      </c>
      <c r="D55" s="4" t="s">
        <v>1035</v>
      </c>
    </row>
    <row r="56" spans="1:4" x14ac:dyDescent="0.2">
      <c r="A56" s="4">
        <v>55</v>
      </c>
      <c r="B56" s="4" t="s">
        <v>1042</v>
      </c>
      <c r="C56" s="17" t="s">
        <v>11</v>
      </c>
      <c r="D56" s="4" t="s">
        <v>1035</v>
      </c>
    </row>
    <row r="57" spans="1:4" x14ac:dyDescent="0.2">
      <c r="A57" s="4">
        <v>56</v>
      </c>
      <c r="B57" s="4" t="s">
        <v>1043</v>
      </c>
      <c r="C57" s="17" t="s">
        <v>11</v>
      </c>
      <c r="D57" s="4" t="s">
        <v>1035</v>
      </c>
    </row>
    <row r="58" spans="1:4" x14ac:dyDescent="0.2">
      <c r="A58" s="4">
        <v>57</v>
      </c>
      <c r="B58" s="4" t="s">
        <v>1044</v>
      </c>
      <c r="C58" s="17" t="s">
        <v>11</v>
      </c>
      <c r="D58" s="4" t="s">
        <v>1035</v>
      </c>
    </row>
    <row r="59" spans="1:4" x14ac:dyDescent="0.2">
      <c r="A59" s="4">
        <v>58</v>
      </c>
      <c r="B59" s="4" t="s">
        <v>1045</v>
      </c>
      <c r="C59" s="17" t="s">
        <v>11</v>
      </c>
      <c r="D59" s="4" t="s">
        <v>1005</v>
      </c>
    </row>
    <row r="60" spans="1:4" x14ac:dyDescent="0.2">
      <c r="A60" s="4">
        <v>59</v>
      </c>
      <c r="B60" s="4" t="s">
        <v>1046</v>
      </c>
      <c r="C60" s="17" t="s">
        <v>11</v>
      </c>
      <c r="D60" s="4" t="s">
        <v>1030</v>
      </c>
    </row>
    <row r="61" spans="1:4" x14ac:dyDescent="0.2">
      <c r="A61" s="4">
        <v>60</v>
      </c>
      <c r="B61" s="4" t="s">
        <v>1047</v>
      </c>
      <c r="C61" s="17" t="s">
        <v>11</v>
      </c>
      <c r="D61" s="4" t="s">
        <v>1040</v>
      </c>
    </row>
    <row r="62" spans="1:4" x14ac:dyDescent="0.2">
      <c r="A62" s="4">
        <v>61</v>
      </c>
      <c r="B62" s="4" t="s">
        <v>1048</v>
      </c>
      <c r="C62" s="17" t="s">
        <v>11</v>
      </c>
      <c r="D62" s="4" t="s">
        <v>1049</v>
      </c>
    </row>
    <row r="63" spans="1:4" x14ac:dyDescent="0.2">
      <c r="A63" s="4">
        <v>62</v>
      </c>
      <c r="B63" s="4" t="s">
        <v>1050</v>
      </c>
      <c r="C63" s="17" t="s">
        <v>11</v>
      </c>
      <c r="D63" s="4" t="s">
        <v>1004</v>
      </c>
    </row>
    <row r="64" spans="1:4" x14ac:dyDescent="0.2">
      <c r="A64" s="4">
        <v>63</v>
      </c>
      <c r="B64" s="4" t="s">
        <v>1051</v>
      </c>
      <c r="C64" s="17" t="s">
        <v>11</v>
      </c>
      <c r="D64" s="4" t="s">
        <v>1049</v>
      </c>
    </row>
    <row r="65" spans="1:4" x14ac:dyDescent="0.2">
      <c r="A65" s="4">
        <v>64</v>
      </c>
      <c r="B65" s="4" t="s">
        <v>1052</v>
      </c>
      <c r="C65" s="15" t="s">
        <v>12</v>
      </c>
      <c r="D65" s="4" t="s">
        <v>1053</v>
      </c>
    </row>
    <row r="66" spans="1:4" x14ac:dyDescent="0.2">
      <c r="A66" s="4">
        <v>65</v>
      </c>
      <c r="B66" s="4" t="s">
        <v>1054</v>
      </c>
      <c r="C66" s="15" t="s">
        <v>12</v>
      </c>
      <c r="D66" s="4" t="s">
        <v>1055</v>
      </c>
    </row>
    <row r="67" spans="1:4" x14ac:dyDescent="0.2">
      <c r="A67" s="4">
        <v>66</v>
      </c>
      <c r="B67" s="4" t="s">
        <v>1056</v>
      </c>
      <c r="C67" s="15" t="s">
        <v>12</v>
      </c>
      <c r="D67" s="4" t="s">
        <v>1053</v>
      </c>
    </row>
    <row r="68" spans="1:4" x14ac:dyDescent="0.2">
      <c r="A68" s="4">
        <v>67</v>
      </c>
      <c r="B68" s="4" t="s">
        <v>1057</v>
      </c>
      <c r="C68" s="15" t="s">
        <v>12</v>
      </c>
      <c r="D68" s="4" t="s">
        <v>1058</v>
      </c>
    </row>
    <row r="69" spans="1:4" x14ac:dyDescent="0.2">
      <c r="A69" s="4">
        <v>68</v>
      </c>
      <c r="B69" s="4" t="s">
        <v>1059</v>
      </c>
      <c r="C69" s="15" t="s">
        <v>12</v>
      </c>
      <c r="D69" s="4" t="s">
        <v>1060</v>
      </c>
    </row>
    <row r="70" spans="1:4" x14ac:dyDescent="0.2">
      <c r="A70" s="4">
        <v>69</v>
      </c>
      <c r="B70" s="4" t="s">
        <v>1061</v>
      </c>
      <c r="C70" s="15" t="s">
        <v>12</v>
      </c>
      <c r="D70" s="4" t="s">
        <v>1053</v>
      </c>
    </row>
    <row r="71" spans="1:4" x14ac:dyDescent="0.2">
      <c r="A71" s="4">
        <v>70</v>
      </c>
      <c r="B71" s="4" t="s">
        <v>1062</v>
      </c>
      <c r="C71" s="15" t="s">
        <v>12</v>
      </c>
      <c r="D71" s="4" t="s">
        <v>1063</v>
      </c>
    </row>
    <row r="72" spans="1:4" x14ac:dyDescent="0.2">
      <c r="A72" s="4">
        <v>71</v>
      </c>
      <c r="B72" s="4" t="s">
        <v>1064</v>
      </c>
      <c r="C72" s="15" t="s">
        <v>12</v>
      </c>
      <c r="D72" s="4" t="s">
        <v>1065</v>
      </c>
    </row>
    <row r="73" spans="1:4" x14ac:dyDescent="0.2">
      <c r="A73" s="4">
        <v>72</v>
      </c>
      <c r="B73" s="4" t="s">
        <v>1066</v>
      </c>
      <c r="C73" s="15" t="s">
        <v>12</v>
      </c>
      <c r="D73" s="4" t="s">
        <v>1065</v>
      </c>
    </row>
    <row r="74" spans="1:4" x14ac:dyDescent="0.2">
      <c r="A74" s="4">
        <v>73</v>
      </c>
      <c r="B74" s="4" t="s">
        <v>1067</v>
      </c>
      <c r="C74" s="15" t="s">
        <v>12</v>
      </c>
      <c r="D74" s="4" t="s">
        <v>1065</v>
      </c>
    </row>
    <row r="75" spans="1:4" x14ac:dyDescent="0.2">
      <c r="A75" s="4">
        <v>74</v>
      </c>
      <c r="B75" s="4" t="s">
        <v>1068</v>
      </c>
      <c r="C75" s="15" t="s">
        <v>12</v>
      </c>
      <c r="D75" s="4" t="s">
        <v>1065</v>
      </c>
    </row>
    <row r="76" spans="1:4" x14ac:dyDescent="0.2">
      <c r="A76" s="4">
        <v>75</v>
      </c>
      <c r="B76" s="4" t="s">
        <v>1069</v>
      </c>
      <c r="C76" s="15" t="s">
        <v>12</v>
      </c>
      <c r="D76" s="4" t="s">
        <v>1065</v>
      </c>
    </row>
    <row r="77" spans="1:4" x14ac:dyDescent="0.2">
      <c r="A77" s="4">
        <v>76</v>
      </c>
      <c r="B77" s="4" t="s">
        <v>1070</v>
      </c>
      <c r="C77" s="15" t="s">
        <v>12</v>
      </c>
      <c r="D77" s="4" t="s">
        <v>1065</v>
      </c>
    </row>
    <row r="78" spans="1:4" x14ac:dyDescent="0.2">
      <c r="A78" s="4">
        <v>77</v>
      </c>
      <c r="B78" s="4" t="s">
        <v>1071</v>
      </c>
      <c r="C78" s="15" t="s">
        <v>12</v>
      </c>
      <c r="D78" s="4" t="s">
        <v>1053</v>
      </c>
    </row>
    <row r="79" spans="1:4" x14ac:dyDescent="0.2">
      <c r="A79" s="4">
        <v>78</v>
      </c>
      <c r="B79" s="4" t="s">
        <v>1072</v>
      </c>
      <c r="C79" s="15" t="s">
        <v>12</v>
      </c>
      <c r="D79" s="4" t="s">
        <v>1053</v>
      </c>
    </row>
    <row r="80" spans="1:4" x14ac:dyDescent="0.2">
      <c r="A80" s="4">
        <v>79</v>
      </c>
      <c r="B80" s="4" t="s">
        <v>1073</v>
      </c>
      <c r="C80" s="15" t="s">
        <v>12</v>
      </c>
      <c r="D80" s="4" t="s">
        <v>1053</v>
      </c>
    </row>
    <row r="81" spans="1:4" x14ac:dyDescent="0.2">
      <c r="A81" s="4">
        <v>80</v>
      </c>
      <c r="B81" s="4" t="s">
        <v>1074</v>
      </c>
      <c r="C81" s="15" t="s">
        <v>12</v>
      </c>
      <c r="D81" s="4" t="s">
        <v>1053</v>
      </c>
    </row>
    <row r="82" spans="1:4" x14ac:dyDescent="0.2">
      <c r="A82" s="4">
        <v>81</v>
      </c>
      <c r="B82" s="4" t="s">
        <v>1075</v>
      </c>
      <c r="C82" s="15" t="s">
        <v>12</v>
      </c>
      <c r="D82" s="4" t="s">
        <v>1053</v>
      </c>
    </row>
    <row r="83" spans="1:4" x14ac:dyDescent="0.2">
      <c r="A83" s="4">
        <v>82</v>
      </c>
      <c r="B83" s="4" t="s">
        <v>1076</v>
      </c>
      <c r="C83" s="15" t="s">
        <v>12</v>
      </c>
      <c r="D83" s="4" t="s">
        <v>1053</v>
      </c>
    </row>
    <row r="84" spans="1:4" x14ac:dyDescent="0.2">
      <c r="A84" s="4">
        <v>83</v>
      </c>
      <c r="B84" s="4" t="s">
        <v>1077</v>
      </c>
      <c r="C84" s="15" t="s">
        <v>12</v>
      </c>
      <c r="D84" s="4" t="s">
        <v>1053</v>
      </c>
    </row>
    <row r="85" spans="1:4" x14ac:dyDescent="0.2">
      <c r="A85" s="4">
        <v>84</v>
      </c>
      <c r="B85" s="4" t="s">
        <v>1078</v>
      </c>
      <c r="C85" s="15" t="s">
        <v>12</v>
      </c>
      <c r="D85" s="4" t="s">
        <v>1055</v>
      </c>
    </row>
    <row r="86" spans="1:4" x14ac:dyDescent="0.2">
      <c r="A86" s="4">
        <v>85</v>
      </c>
      <c r="B86" s="4" t="s">
        <v>1079</v>
      </c>
      <c r="C86" s="15" t="s">
        <v>12</v>
      </c>
      <c r="D86" s="4" t="s">
        <v>1055</v>
      </c>
    </row>
    <row r="87" spans="1:4" x14ac:dyDescent="0.2">
      <c r="A87" s="4">
        <v>86</v>
      </c>
      <c r="B87" s="4" t="s">
        <v>1080</v>
      </c>
      <c r="C87" s="15" t="s">
        <v>12</v>
      </c>
      <c r="D87" s="4" t="s">
        <v>1055</v>
      </c>
    </row>
    <row r="88" spans="1:4" x14ac:dyDescent="0.2">
      <c r="A88" s="4">
        <v>87</v>
      </c>
      <c r="B88" s="4" t="s">
        <v>1081</v>
      </c>
      <c r="C88" s="15" t="s">
        <v>12</v>
      </c>
      <c r="D88" s="4" t="s">
        <v>1053</v>
      </c>
    </row>
    <row r="89" spans="1:4" x14ac:dyDescent="0.2">
      <c r="A89" s="4">
        <v>88</v>
      </c>
      <c r="B89" s="4" t="s">
        <v>1082</v>
      </c>
      <c r="C89" s="15" t="s">
        <v>12</v>
      </c>
      <c r="D89" s="4" t="s">
        <v>1053</v>
      </c>
    </row>
    <row r="90" spans="1:4" x14ac:dyDescent="0.2">
      <c r="A90" s="4">
        <v>89</v>
      </c>
      <c r="B90" s="4" t="s">
        <v>1083</v>
      </c>
      <c r="C90" s="15" t="s">
        <v>12</v>
      </c>
      <c r="D90" s="4" t="s">
        <v>1053</v>
      </c>
    </row>
    <row r="91" spans="1:4" x14ac:dyDescent="0.2">
      <c r="A91" s="4">
        <v>90</v>
      </c>
      <c r="B91" s="4" t="s">
        <v>1084</v>
      </c>
      <c r="C91" s="15" t="s">
        <v>12</v>
      </c>
      <c r="D91" s="4" t="s">
        <v>1053</v>
      </c>
    </row>
    <row r="92" spans="1:4" x14ac:dyDescent="0.2">
      <c r="A92" s="4">
        <v>91</v>
      </c>
      <c r="B92" s="4" t="s">
        <v>1085</v>
      </c>
      <c r="C92" s="15" t="s">
        <v>12</v>
      </c>
      <c r="D92" s="4" t="s">
        <v>1086</v>
      </c>
    </row>
    <row r="93" spans="1:4" x14ac:dyDescent="0.2">
      <c r="A93" s="4">
        <v>92</v>
      </c>
      <c r="B93" s="4" t="s">
        <v>1087</v>
      </c>
      <c r="C93" s="15" t="s">
        <v>12</v>
      </c>
      <c r="D93" s="4" t="s">
        <v>1053</v>
      </c>
    </row>
    <row r="94" spans="1:4" x14ac:dyDescent="0.2">
      <c r="A94" s="4">
        <v>93</v>
      </c>
      <c r="B94" s="4" t="s">
        <v>1088</v>
      </c>
      <c r="C94" s="15" t="s">
        <v>12</v>
      </c>
      <c r="D94" s="4" t="s">
        <v>1063</v>
      </c>
    </row>
    <row r="95" spans="1:4" x14ac:dyDescent="0.2">
      <c r="A95" s="4">
        <v>94</v>
      </c>
      <c r="B95" s="4" t="s">
        <v>1089</v>
      </c>
      <c r="C95" s="15" t="s">
        <v>12</v>
      </c>
      <c r="D95" s="4" t="s">
        <v>1063</v>
      </c>
    </row>
    <row r="96" spans="1:4" x14ac:dyDescent="0.2">
      <c r="A96" s="4">
        <v>95</v>
      </c>
      <c r="B96" s="4" t="s">
        <v>1090</v>
      </c>
      <c r="C96" s="15" t="s">
        <v>12</v>
      </c>
      <c r="D96" s="4" t="s">
        <v>1065</v>
      </c>
    </row>
    <row r="97" spans="1:4" x14ac:dyDescent="0.2">
      <c r="A97" s="4">
        <v>96</v>
      </c>
      <c r="B97" s="4" t="s">
        <v>1091</v>
      </c>
      <c r="C97" s="15" t="s">
        <v>12</v>
      </c>
      <c r="D97" s="4" t="s">
        <v>1065</v>
      </c>
    </row>
    <row r="98" spans="1:4" x14ac:dyDescent="0.2">
      <c r="A98" s="4">
        <v>97</v>
      </c>
      <c r="B98" s="4" t="s">
        <v>1092</v>
      </c>
      <c r="C98" s="15" t="s">
        <v>12</v>
      </c>
      <c r="D98" s="4" t="s">
        <v>1065</v>
      </c>
    </row>
    <row r="99" spans="1:4" x14ac:dyDescent="0.2">
      <c r="A99" s="4">
        <v>98</v>
      </c>
      <c r="B99" s="4" t="s">
        <v>1093</v>
      </c>
      <c r="C99" s="15" t="s">
        <v>12</v>
      </c>
      <c r="D99" s="4" t="s">
        <v>1065</v>
      </c>
    </row>
    <row r="100" spans="1:4" x14ac:dyDescent="0.2">
      <c r="A100" s="4">
        <v>99</v>
      </c>
      <c r="B100" s="4" t="s">
        <v>1094</v>
      </c>
      <c r="C100" s="15" t="s">
        <v>12</v>
      </c>
      <c r="D100" s="4" t="s">
        <v>1053</v>
      </c>
    </row>
    <row r="101" spans="1:4" x14ac:dyDescent="0.2">
      <c r="A101" s="4">
        <v>100</v>
      </c>
      <c r="B101" s="4" t="s">
        <v>1095</v>
      </c>
      <c r="C101" s="15" t="s">
        <v>12</v>
      </c>
      <c r="D101" s="4" t="s">
        <v>1053</v>
      </c>
    </row>
    <row r="102" spans="1:4" x14ac:dyDescent="0.2">
      <c r="A102" s="4">
        <v>101</v>
      </c>
      <c r="B102" s="4" t="s">
        <v>1096</v>
      </c>
      <c r="C102" s="15" t="s">
        <v>12</v>
      </c>
      <c r="D102" s="4" t="s">
        <v>1053</v>
      </c>
    </row>
    <row r="103" spans="1:4" x14ac:dyDescent="0.2">
      <c r="A103" s="4">
        <v>102</v>
      </c>
      <c r="B103" s="4" t="s">
        <v>1097</v>
      </c>
      <c r="C103" s="15" t="s">
        <v>12</v>
      </c>
      <c r="D103" s="4" t="s">
        <v>1053</v>
      </c>
    </row>
    <row r="104" spans="1:4" x14ac:dyDescent="0.2">
      <c r="A104" s="4">
        <v>103</v>
      </c>
      <c r="B104" s="4" t="s">
        <v>1098</v>
      </c>
      <c r="C104" s="15" t="s">
        <v>12</v>
      </c>
      <c r="D104" s="4" t="s">
        <v>1053</v>
      </c>
    </row>
    <row r="105" spans="1:4" x14ac:dyDescent="0.2">
      <c r="A105" s="4">
        <v>104</v>
      </c>
      <c r="B105" s="4" t="s">
        <v>1099</v>
      </c>
      <c r="C105" s="15" t="s">
        <v>12</v>
      </c>
      <c r="D105" s="4" t="s">
        <v>1053</v>
      </c>
    </row>
    <row r="106" spans="1:4" x14ac:dyDescent="0.2">
      <c r="A106" s="4">
        <v>105</v>
      </c>
      <c r="B106" s="4" t="s">
        <v>1100</v>
      </c>
      <c r="C106" s="15" t="s">
        <v>12</v>
      </c>
      <c r="D106" s="4" t="s">
        <v>1101</v>
      </c>
    </row>
    <row r="107" spans="1:4" x14ac:dyDescent="0.2">
      <c r="A107" s="4">
        <v>106</v>
      </c>
      <c r="B107" s="4" t="s">
        <v>1102</v>
      </c>
      <c r="C107" s="15" t="s">
        <v>12</v>
      </c>
      <c r="D107" s="4" t="s">
        <v>1101</v>
      </c>
    </row>
    <row r="108" spans="1:4" x14ac:dyDescent="0.2">
      <c r="A108" s="4">
        <v>107</v>
      </c>
      <c r="B108" s="4" t="s">
        <v>1103</v>
      </c>
      <c r="C108" s="15" t="s">
        <v>12</v>
      </c>
      <c r="D108" s="4" t="s">
        <v>1101</v>
      </c>
    </row>
    <row r="109" spans="1:4" x14ac:dyDescent="0.2">
      <c r="A109" s="4">
        <v>108</v>
      </c>
      <c r="B109" s="4" t="s">
        <v>1104</v>
      </c>
      <c r="C109" s="15" t="s">
        <v>12</v>
      </c>
      <c r="D109" s="4" t="s">
        <v>1053</v>
      </c>
    </row>
    <row r="110" spans="1:4" x14ac:dyDescent="0.2">
      <c r="A110" s="4">
        <v>109</v>
      </c>
      <c r="B110" s="4" t="s">
        <v>1105</v>
      </c>
      <c r="C110" s="15" t="s">
        <v>12</v>
      </c>
      <c r="D110" s="4" t="s">
        <v>1053</v>
      </c>
    </row>
    <row r="111" spans="1:4" x14ac:dyDescent="0.2">
      <c r="A111" s="4">
        <v>110</v>
      </c>
      <c r="B111" s="4" t="s">
        <v>1106</v>
      </c>
      <c r="C111" s="15" t="s">
        <v>12</v>
      </c>
      <c r="D111" s="4" t="s">
        <v>1053</v>
      </c>
    </row>
    <row r="112" spans="1:4" x14ac:dyDescent="0.2">
      <c r="A112" s="4">
        <v>111</v>
      </c>
      <c r="B112" s="4" t="s">
        <v>1107</v>
      </c>
      <c r="C112" s="15" t="s">
        <v>12</v>
      </c>
      <c r="D112" s="4" t="s">
        <v>1108</v>
      </c>
    </row>
    <row r="113" spans="1:4" x14ac:dyDescent="0.2">
      <c r="A113" s="4">
        <v>112</v>
      </c>
      <c r="B113" s="4" t="s">
        <v>1109</v>
      </c>
      <c r="C113" s="18" t="s">
        <v>13</v>
      </c>
      <c r="D113" s="4"/>
    </row>
    <row r="114" spans="1:4" x14ac:dyDescent="0.2">
      <c r="A114" s="4">
        <v>113</v>
      </c>
      <c r="B114" s="4" t="s">
        <v>1110</v>
      </c>
      <c r="C114" s="18" t="s">
        <v>13</v>
      </c>
      <c r="D114" s="4"/>
    </row>
    <row r="115" spans="1:4" x14ac:dyDescent="0.2">
      <c r="A115" s="4">
        <v>114</v>
      </c>
      <c r="B115" s="4" t="s">
        <v>1111</v>
      </c>
      <c r="C115" s="18" t="s">
        <v>13</v>
      </c>
      <c r="D115" s="4"/>
    </row>
    <row r="116" spans="1:4" x14ac:dyDescent="0.2">
      <c r="A116" s="4">
        <v>115</v>
      </c>
      <c r="B116" s="4" t="s">
        <v>1112</v>
      </c>
      <c r="C116" s="18" t="s">
        <v>13</v>
      </c>
      <c r="D116" s="4"/>
    </row>
    <row r="117" spans="1:4" x14ac:dyDescent="0.2">
      <c r="A117" s="4">
        <v>116</v>
      </c>
      <c r="B117" s="4" t="s">
        <v>1113</v>
      </c>
      <c r="C117" s="18" t="s">
        <v>13</v>
      </c>
      <c r="D117" s="4"/>
    </row>
    <row r="118" spans="1:4" x14ac:dyDescent="0.2">
      <c r="A118" s="4">
        <v>117</v>
      </c>
      <c r="B118" s="4" t="s">
        <v>1114</v>
      </c>
      <c r="C118" s="18" t="s">
        <v>13</v>
      </c>
      <c r="D118" s="4"/>
    </row>
    <row r="119" spans="1:4" x14ac:dyDescent="0.2">
      <c r="A119" s="4">
        <v>118</v>
      </c>
      <c r="B119" s="4" t="s">
        <v>1115</v>
      </c>
      <c r="C119" s="18" t="s">
        <v>13</v>
      </c>
      <c r="D119" s="4"/>
    </row>
    <row r="120" spans="1:4" x14ac:dyDescent="0.2">
      <c r="A120" s="4">
        <v>119</v>
      </c>
      <c r="B120" s="4" t="s">
        <v>1116</v>
      </c>
      <c r="C120" s="18" t="s">
        <v>13</v>
      </c>
      <c r="D120" s="4"/>
    </row>
    <row r="121" spans="1:4" x14ac:dyDescent="0.2">
      <c r="A121" s="4">
        <v>120</v>
      </c>
      <c r="B121" s="4" t="s">
        <v>1117</v>
      </c>
      <c r="C121" s="18" t="s">
        <v>13</v>
      </c>
      <c r="D121" s="4"/>
    </row>
    <row r="122" spans="1:4" x14ac:dyDescent="0.2">
      <c r="A122" s="4">
        <v>121</v>
      </c>
      <c r="B122" s="4" t="s">
        <v>1118</v>
      </c>
      <c r="C122" s="18" t="s">
        <v>13</v>
      </c>
      <c r="D122" s="4"/>
    </row>
    <row r="123" spans="1:4" x14ac:dyDescent="0.2">
      <c r="A123" s="4">
        <v>122</v>
      </c>
      <c r="B123" s="4" t="s">
        <v>1119</v>
      </c>
      <c r="C123" s="18" t="s">
        <v>13</v>
      </c>
      <c r="D123" s="4"/>
    </row>
    <row r="124" spans="1:4" x14ac:dyDescent="0.2">
      <c r="A124" s="4">
        <v>123</v>
      </c>
      <c r="B124" s="4" t="s">
        <v>1120</v>
      </c>
      <c r="C124" s="18" t="s">
        <v>13</v>
      </c>
      <c r="D124" s="4"/>
    </row>
    <row r="125" spans="1:4" x14ac:dyDescent="0.2">
      <c r="A125" s="4">
        <v>124</v>
      </c>
      <c r="B125" s="4" t="s">
        <v>1121</v>
      </c>
      <c r="C125" s="18" t="s">
        <v>13</v>
      </c>
      <c r="D125" s="4"/>
    </row>
    <row r="126" spans="1:4" x14ac:dyDescent="0.2">
      <c r="A126" s="4">
        <v>125</v>
      </c>
      <c r="B126" s="4" t="s">
        <v>1122</v>
      </c>
      <c r="C126" s="18" t="s">
        <v>13</v>
      </c>
      <c r="D126" s="4"/>
    </row>
    <row r="127" spans="1:4" x14ac:dyDescent="0.2">
      <c r="A127" s="4">
        <v>126</v>
      </c>
      <c r="B127" s="4" t="s">
        <v>1123</v>
      </c>
      <c r="C127" s="18" t="s">
        <v>13</v>
      </c>
      <c r="D127" s="4"/>
    </row>
    <row r="128" spans="1:4" x14ac:dyDescent="0.2">
      <c r="A128" s="4">
        <v>127</v>
      </c>
      <c r="B128" s="4" t="s">
        <v>1124</v>
      </c>
      <c r="C128" s="16" t="s">
        <v>10</v>
      </c>
      <c r="D128" s="4" t="s">
        <v>1125</v>
      </c>
    </row>
    <row r="129" spans="1:4" x14ac:dyDescent="0.2">
      <c r="A129" s="4">
        <v>128</v>
      </c>
      <c r="B129" s="4" t="s">
        <v>1126</v>
      </c>
      <c r="C129" s="16" t="s">
        <v>10</v>
      </c>
      <c r="D129" s="4" t="s">
        <v>1004</v>
      </c>
    </row>
    <row r="130" spans="1:4" x14ac:dyDescent="0.2">
      <c r="A130" s="4">
        <v>129</v>
      </c>
      <c r="B130" s="4" t="s">
        <v>1127</v>
      </c>
      <c r="C130" s="16" t="s">
        <v>10</v>
      </c>
      <c r="D130" s="4" t="s">
        <v>1030</v>
      </c>
    </row>
    <row r="131" spans="1:4" x14ac:dyDescent="0.2">
      <c r="A131" s="4">
        <v>130</v>
      </c>
      <c r="B131" s="4" t="s">
        <v>1128</v>
      </c>
      <c r="C131" s="16" t="s">
        <v>10</v>
      </c>
      <c r="D131" s="4" t="s">
        <v>1040</v>
      </c>
    </row>
    <row r="132" spans="1:4" x14ac:dyDescent="0.2">
      <c r="A132" s="4">
        <v>131</v>
      </c>
      <c r="B132" s="4" t="s">
        <v>1129</v>
      </c>
      <c r="C132" s="16" t="s">
        <v>10</v>
      </c>
      <c r="D132" s="4" t="s">
        <v>1004</v>
      </c>
    </row>
    <row r="133" spans="1:4" x14ac:dyDescent="0.2">
      <c r="A133" s="4">
        <v>132</v>
      </c>
      <c r="B133" s="4" t="s">
        <v>1130</v>
      </c>
      <c r="C133" s="16" t="s">
        <v>10</v>
      </c>
      <c r="D133" s="4" t="s">
        <v>1030</v>
      </c>
    </row>
    <row r="134" spans="1:4" x14ac:dyDescent="0.2">
      <c r="A134" s="4">
        <v>133</v>
      </c>
      <c r="B134" s="4" t="s">
        <v>1131</v>
      </c>
      <c r="C134" s="16" t="s">
        <v>10</v>
      </c>
      <c r="D134" s="4" t="s">
        <v>1030</v>
      </c>
    </row>
    <row r="135" spans="1:4" x14ac:dyDescent="0.2">
      <c r="A135" s="4">
        <v>134</v>
      </c>
      <c r="B135" s="4" t="s">
        <v>1132</v>
      </c>
      <c r="C135" s="17" t="s">
        <v>11</v>
      </c>
      <c r="D135" s="4" t="s">
        <v>1035</v>
      </c>
    </row>
    <row r="136" spans="1:4" x14ac:dyDescent="0.2">
      <c r="A136" s="4">
        <v>135</v>
      </c>
      <c r="B136" s="4" t="s">
        <v>1133</v>
      </c>
      <c r="C136" s="17" t="s">
        <v>11</v>
      </c>
      <c r="D136" s="4" t="s">
        <v>1005</v>
      </c>
    </row>
    <row r="137" spans="1:4" x14ac:dyDescent="0.2">
      <c r="A137" s="4">
        <v>136</v>
      </c>
      <c r="B137" s="4" t="s">
        <v>1134</v>
      </c>
      <c r="C137" s="17" t="s">
        <v>11</v>
      </c>
      <c r="D137" s="4" t="s">
        <v>1035</v>
      </c>
    </row>
    <row r="138" spans="1:4" x14ac:dyDescent="0.2">
      <c r="A138" s="4">
        <v>137</v>
      </c>
      <c r="B138" s="4" t="s">
        <v>1135</v>
      </c>
      <c r="C138" s="17" t="s">
        <v>11</v>
      </c>
      <c r="D138" s="4" t="s">
        <v>1015</v>
      </c>
    </row>
    <row r="139" spans="1:4" x14ac:dyDescent="0.2">
      <c r="A139" s="4">
        <v>138</v>
      </c>
      <c r="B139" s="4" t="s">
        <v>1136</v>
      </c>
      <c r="C139" s="17" t="s">
        <v>11</v>
      </c>
      <c r="D139" s="4" t="s">
        <v>1137</v>
      </c>
    </row>
    <row r="140" spans="1:4" x14ac:dyDescent="0.2">
      <c r="A140" s="4">
        <v>139</v>
      </c>
      <c r="B140" s="4" t="s">
        <v>1138</v>
      </c>
      <c r="C140" s="15" t="s">
        <v>12</v>
      </c>
      <c r="D140" s="4" t="s">
        <v>1101</v>
      </c>
    </row>
    <row r="141" spans="1:4" x14ac:dyDescent="0.2">
      <c r="A141" s="4">
        <v>140</v>
      </c>
      <c r="B141" s="4" t="s">
        <v>1139</v>
      </c>
      <c r="C141" s="15" t="s">
        <v>12</v>
      </c>
      <c r="D141" s="4" t="s">
        <v>1101</v>
      </c>
    </row>
    <row r="142" spans="1:4" x14ac:dyDescent="0.2">
      <c r="A142" s="4">
        <v>141</v>
      </c>
      <c r="B142" s="4" t="s">
        <v>1140</v>
      </c>
      <c r="C142" s="15" t="s">
        <v>12</v>
      </c>
      <c r="D142" s="4" t="s">
        <v>1053</v>
      </c>
    </row>
    <row r="143" spans="1:4" x14ac:dyDescent="0.2">
      <c r="A143" s="4">
        <v>142</v>
      </c>
      <c r="B143" s="4" t="s">
        <v>1141</v>
      </c>
      <c r="C143" s="15" t="s">
        <v>12</v>
      </c>
      <c r="D143" s="4" t="s">
        <v>1053</v>
      </c>
    </row>
    <row r="144" spans="1:4" x14ac:dyDescent="0.2">
      <c r="A144" s="4">
        <v>143</v>
      </c>
      <c r="B144" s="4" t="s">
        <v>1142</v>
      </c>
      <c r="C144" s="15" t="s">
        <v>12</v>
      </c>
      <c r="D144" s="4" t="s">
        <v>1053</v>
      </c>
    </row>
    <row r="145" spans="1:4" x14ac:dyDescent="0.2">
      <c r="A145" s="4">
        <v>144</v>
      </c>
      <c r="B145" s="4" t="s">
        <v>1143</v>
      </c>
      <c r="C145" s="15" t="s">
        <v>12</v>
      </c>
      <c r="D145" s="4" t="s">
        <v>1053</v>
      </c>
    </row>
    <row r="146" spans="1:4" x14ac:dyDescent="0.2">
      <c r="A146" s="4">
        <v>145</v>
      </c>
      <c r="B146" s="4" t="s">
        <v>1144</v>
      </c>
      <c r="C146" s="15" t="s">
        <v>12</v>
      </c>
      <c r="D146" s="4" t="s">
        <v>1101</v>
      </c>
    </row>
    <row r="147" spans="1:4" x14ac:dyDescent="0.2">
      <c r="A147" s="4">
        <v>146</v>
      </c>
      <c r="B147" s="4" t="s">
        <v>1145</v>
      </c>
      <c r="C147" s="15" t="s">
        <v>12</v>
      </c>
      <c r="D147" s="4" t="s">
        <v>1053</v>
      </c>
    </row>
    <row r="148" spans="1:4" x14ac:dyDescent="0.2">
      <c r="A148" s="4">
        <v>147</v>
      </c>
      <c r="B148" s="4" t="s">
        <v>1146</v>
      </c>
      <c r="C148" s="15" t="s">
        <v>12</v>
      </c>
      <c r="D148" s="4" t="s">
        <v>1065</v>
      </c>
    </row>
    <row r="149" spans="1:4" x14ac:dyDescent="0.2">
      <c r="A149" s="4">
        <v>148</v>
      </c>
      <c r="B149" s="4" t="s">
        <v>1147</v>
      </c>
      <c r="C149" s="15" t="s">
        <v>12</v>
      </c>
      <c r="D149" s="4" t="s">
        <v>1063</v>
      </c>
    </row>
    <row r="150" spans="1:4" x14ac:dyDescent="0.2">
      <c r="A150" s="4">
        <v>149</v>
      </c>
      <c r="B150" s="4" t="s">
        <v>1148</v>
      </c>
      <c r="C150" s="15" t="s">
        <v>12</v>
      </c>
      <c r="D150" s="4" t="s">
        <v>1063</v>
      </c>
    </row>
    <row r="151" spans="1:4" x14ac:dyDescent="0.2">
      <c r="A151" s="4">
        <v>150</v>
      </c>
      <c r="B151" s="4" t="s">
        <v>1149</v>
      </c>
      <c r="C151" s="15" t="s">
        <v>12</v>
      </c>
      <c r="D151" s="4" t="s">
        <v>1063</v>
      </c>
    </row>
    <row r="152" spans="1:4" x14ac:dyDescent="0.2">
      <c r="A152" s="4">
        <v>151</v>
      </c>
      <c r="B152" s="4" t="s">
        <v>1150</v>
      </c>
      <c r="C152" s="15" t="s">
        <v>12</v>
      </c>
      <c r="D152" s="4" t="s">
        <v>1063</v>
      </c>
    </row>
    <row r="153" spans="1:4" x14ac:dyDescent="0.2">
      <c r="A153" s="4">
        <v>152</v>
      </c>
      <c r="B153" s="4" t="s">
        <v>1151</v>
      </c>
      <c r="C153" s="15" t="s">
        <v>12</v>
      </c>
      <c r="D153" s="4" t="s">
        <v>1060</v>
      </c>
    </row>
    <row r="154" spans="1:4" x14ac:dyDescent="0.2">
      <c r="A154" s="4">
        <v>153</v>
      </c>
      <c r="B154" s="4" t="s">
        <v>1152</v>
      </c>
      <c r="C154" s="15" t="s">
        <v>12</v>
      </c>
      <c r="D154" s="4" t="s">
        <v>1060</v>
      </c>
    </row>
    <row r="155" spans="1:4" x14ac:dyDescent="0.2">
      <c r="A155" s="4">
        <v>154</v>
      </c>
      <c r="B155" s="4" t="s">
        <v>1153</v>
      </c>
      <c r="C155" s="15" t="s">
        <v>12</v>
      </c>
      <c r="D155" s="4" t="s">
        <v>1154</v>
      </c>
    </row>
    <row r="156" spans="1:4" x14ac:dyDescent="0.2">
      <c r="A156" s="4">
        <v>155</v>
      </c>
      <c r="B156" s="4" t="s">
        <v>1155</v>
      </c>
      <c r="C156" s="15" t="s">
        <v>12</v>
      </c>
      <c r="D156" s="4" t="s">
        <v>1154</v>
      </c>
    </row>
    <row r="157" spans="1:4" x14ac:dyDescent="0.2">
      <c r="A157" s="4">
        <v>156</v>
      </c>
      <c r="B157" s="4" t="s">
        <v>1156</v>
      </c>
      <c r="C157" s="15" t="s">
        <v>12</v>
      </c>
      <c r="D157" s="4" t="s">
        <v>1157</v>
      </c>
    </row>
    <row r="158" spans="1:4" x14ac:dyDescent="0.2">
      <c r="A158" s="4">
        <v>157</v>
      </c>
      <c r="B158" s="4" t="s">
        <v>1158</v>
      </c>
      <c r="C158" s="15" t="s">
        <v>12</v>
      </c>
      <c r="D158" s="4" t="s">
        <v>1154</v>
      </c>
    </row>
    <row r="159" spans="1:4" x14ac:dyDescent="0.2">
      <c r="A159" s="4">
        <v>158</v>
      </c>
      <c r="B159" s="4" t="s">
        <v>1159</v>
      </c>
      <c r="C159" s="15" t="s">
        <v>12</v>
      </c>
      <c r="D159" s="4" t="s">
        <v>1053</v>
      </c>
    </row>
    <row r="160" spans="1:4" x14ac:dyDescent="0.2">
      <c r="A160" s="4">
        <v>159</v>
      </c>
      <c r="B160" s="4" t="s">
        <v>1160</v>
      </c>
      <c r="C160" s="15" t="s">
        <v>12</v>
      </c>
      <c r="D160" s="4" t="s">
        <v>1053</v>
      </c>
    </row>
    <row r="161" spans="1:4" x14ac:dyDescent="0.2">
      <c r="A161" s="4">
        <v>160</v>
      </c>
      <c r="B161" s="4" t="s">
        <v>1161</v>
      </c>
      <c r="C161" s="15" t="s">
        <v>12</v>
      </c>
      <c r="D161" s="4" t="s">
        <v>1101</v>
      </c>
    </row>
    <row r="162" spans="1:4" x14ac:dyDescent="0.2">
      <c r="A162" s="4">
        <v>161</v>
      </c>
      <c r="B162" s="4" t="s">
        <v>1162</v>
      </c>
      <c r="C162" s="15" t="s">
        <v>12</v>
      </c>
      <c r="D162" s="4" t="s">
        <v>1053</v>
      </c>
    </row>
    <row r="163" spans="1:4" x14ac:dyDescent="0.2">
      <c r="A163" s="4">
        <v>162</v>
      </c>
      <c r="B163" s="4" t="s">
        <v>1163</v>
      </c>
      <c r="C163" s="15" t="s">
        <v>12</v>
      </c>
      <c r="D163" s="4" t="s">
        <v>1164</v>
      </c>
    </row>
    <row r="164" spans="1:4" x14ac:dyDescent="0.2">
      <c r="A164" s="4">
        <v>163</v>
      </c>
      <c r="B164" s="4" t="s">
        <v>1165</v>
      </c>
      <c r="C164" s="15" t="s">
        <v>12</v>
      </c>
      <c r="D164" s="4" t="s">
        <v>1055</v>
      </c>
    </row>
    <row r="165" spans="1:4" x14ac:dyDescent="0.2">
      <c r="A165" s="4">
        <v>164</v>
      </c>
      <c r="B165" s="4" t="s">
        <v>1166</v>
      </c>
      <c r="C165" s="15" t="s">
        <v>12</v>
      </c>
      <c r="D165" s="4" t="s">
        <v>1055</v>
      </c>
    </row>
    <row r="166" spans="1:4" x14ac:dyDescent="0.2">
      <c r="A166" s="4">
        <v>165</v>
      </c>
      <c r="B166" s="4" t="s">
        <v>1167</v>
      </c>
      <c r="C166" s="15" t="s">
        <v>12</v>
      </c>
      <c r="D166" s="4" t="s">
        <v>1055</v>
      </c>
    </row>
    <row r="167" spans="1:4" x14ac:dyDescent="0.2">
      <c r="A167" s="4">
        <v>166</v>
      </c>
      <c r="B167" s="4" t="s">
        <v>1168</v>
      </c>
      <c r="C167" s="15" t="s">
        <v>12</v>
      </c>
      <c r="D167" s="4" t="s">
        <v>1055</v>
      </c>
    </row>
    <row r="168" spans="1:4" x14ac:dyDescent="0.2">
      <c r="A168" s="4">
        <v>167</v>
      </c>
      <c r="B168" s="4" t="s">
        <v>1169</v>
      </c>
      <c r="C168" s="15" t="s">
        <v>12</v>
      </c>
      <c r="D168" s="4" t="s">
        <v>1055</v>
      </c>
    </row>
  </sheetData>
  <autoFilter ref="A1:D16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48" customWidth="1"/>
    <col min="3" max="3" width="14" customWidth="1"/>
    <col min="4" max="4" width="22" customWidth="1"/>
    <col min="5" max="5" width="90" customWidth="1"/>
  </cols>
  <sheetData>
    <row r="1" spans="1:5" x14ac:dyDescent="0.2">
      <c r="A1" s="3" t="s">
        <v>20</v>
      </c>
      <c r="B1" s="3" t="s">
        <v>21</v>
      </c>
      <c r="C1" s="3" t="s">
        <v>999</v>
      </c>
      <c r="D1" s="3" t="s">
        <v>1000</v>
      </c>
      <c r="E1" s="3" t="s">
        <v>1170</v>
      </c>
    </row>
    <row r="2" spans="1:5" ht="139.5" customHeight="1" x14ac:dyDescent="0.2">
      <c r="A2" s="8">
        <v>1</v>
      </c>
      <c r="B2" s="8" t="s">
        <v>1001</v>
      </c>
      <c r="C2" s="19" t="s">
        <v>7</v>
      </c>
      <c r="D2" s="8"/>
      <c r="E2" s="10" t="s">
        <v>1171</v>
      </c>
    </row>
    <row r="3" spans="1:5" ht="84" customHeight="1" x14ac:dyDescent="0.2">
      <c r="A3" s="8">
        <v>2</v>
      </c>
      <c r="B3" s="8" t="s">
        <v>1002</v>
      </c>
      <c r="C3" s="19" t="s">
        <v>7</v>
      </c>
      <c r="D3" s="8"/>
      <c r="E3" s="10" t="s">
        <v>1172</v>
      </c>
    </row>
    <row r="4" spans="1:5" ht="111.75" customHeight="1" x14ac:dyDescent="0.2">
      <c r="A4" s="8">
        <v>3</v>
      </c>
      <c r="B4" s="8" t="s">
        <v>1003</v>
      </c>
      <c r="C4" s="20" t="s">
        <v>8</v>
      </c>
      <c r="D4" s="8"/>
      <c r="E4" s="10" t="s">
        <v>1173</v>
      </c>
    </row>
    <row r="5" spans="1:5" ht="45" customHeight="1" x14ac:dyDescent="0.2">
      <c r="A5" s="8">
        <v>4</v>
      </c>
      <c r="B5" s="8" t="s">
        <v>25</v>
      </c>
      <c r="C5" s="9" t="s">
        <v>9</v>
      </c>
      <c r="D5" s="8" t="s">
        <v>1004</v>
      </c>
      <c r="E5" s="10" t="s">
        <v>443</v>
      </c>
    </row>
    <row r="6" spans="1:5" ht="45" customHeight="1" x14ac:dyDescent="0.2">
      <c r="A6" s="8">
        <v>5</v>
      </c>
      <c r="B6" s="8" t="s">
        <v>35</v>
      </c>
      <c r="C6" s="9" t="s">
        <v>9</v>
      </c>
      <c r="D6" s="8" t="s">
        <v>1005</v>
      </c>
      <c r="E6" s="10" t="s">
        <v>451</v>
      </c>
    </row>
    <row r="7" spans="1:5" ht="45" customHeight="1" x14ac:dyDescent="0.2">
      <c r="A7" s="8">
        <v>6</v>
      </c>
      <c r="B7" s="8" t="s">
        <v>39</v>
      </c>
      <c r="C7" s="9" t="s">
        <v>9</v>
      </c>
      <c r="D7" s="8" t="s">
        <v>1006</v>
      </c>
      <c r="E7" s="10" t="s">
        <v>455</v>
      </c>
    </row>
    <row r="8" spans="1:5" ht="45" customHeight="1" x14ac:dyDescent="0.2">
      <c r="A8" s="8">
        <v>7</v>
      </c>
      <c r="B8" s="8" t="s">
        <v>45</v>
      </c>
      <c r="C8" s="9" t="s">
        <v>9</v>
      </c>
      <c r="D8" s="8" t="s">
        <v>1005</v>
      </c>
      <c r="E8" s="10" t="s">
        <v>1174</v>
      </c>
    </row>
    <row r="9" spans="1:5" ht="45" customHeight="1" x14ac:dyDescent="0.2">
      <c r="A9" s="8">
        <v>8</v>
      </c>
      <c r="B9" s="8" t="s">
        <v>47</v>
      </c>
      <c r="C9" s="9" t="s">
        <v>9</v>
      </c>
      <c r="D9" s="8" t="s">
        <v>1007</v>
      </c>
      <c r="E9" s="10" t="s">
        <v>463</v>
      </c>
    </row>
    <row r="10" spans="1:5" ht="45" customHeight="1" x14ac:dyDescent="0.2">
      <c r="A10" s="8">
        <v>9</v>
      </c>
      <c r="B10" s="8" t="s">
        <v>61</v>
      </c>
      <c r="C10" s="9" t="s">
        <v>9</v>
      </c>
      <c r="D10" s="8" t="s">
        <v>1007</v>
      </c>
      <c r="E10" s="10" t="s">
        <v>1175</v>
      </c>
    </row>
    <row r="11" spans="1:5" ht="45" customHeight="1" x14ac:dyDescent="0.2">
      <c r="A11" s="8">
        <v>10</v>
      </c>
      <c r="B11" s="8" t="s">
        <v>80</v>
      </c>
      <c r="C11" s="9" t="s">
        <v>9</v>
      </c>
      <c r="D11" s="8" t="s">
        <v>1007</v>
      </c>
      <c r="E11" s="10" t="s">
        <v>1176</v>
      </c>
    </row>
    <row r="12" spans="1:5" ht="45" customHeight="1" x14ac:dyDescent="0.2">
      <c r="A12" s="8">
        <v>11</v>
      </c>
      <c r="B12" s="8" t="s">
        <v>82</v>
      </c>
      <c r="C12" s="9" t="s">
        <v>9</v>
      </c>
      <c r="D12" s="8" t="s">
        <v>1004</v>
      </c>
      <c r="E12" s="10" t="s">
        <v>1177</v>
      </c>
    </row>
    <row r="13" spans="1:5" ht="45" customHeight="1" x14ac:dyDescent="0.2">
      <c r="A13" s="8">
        <v>12</v>
      </c>
      <c r="B13" s="8" t="s">
        <v>120</v>
      </c>
      <c r="C13" s="9" t="s">
        <v>9</v>
      </c>
      <c r="D13" s="8" t="s">
        <v>1005</v>
      </c>
      <c r="E13" s="10" t="s">
        <v>537</v>
      </c>
    </row>
    <row r="14" spans="1:5" ht="45" customHeight="1" x14ac:dyDescent="0.2">
      <c r="A14" s="8">
        <v>13</v>
      </c>
      <c r="B14" s="8" t="s">
        <v>206</v>
      </c>
      <c r="C14" s="9" t="s">
        <v>9</v>
      </c>
      <c r="D14" s="8" t="s">
        <v>1004</v>
      </c>
      <c r="E14" s="10" t="s">
        <v>1178</v>
      </c>
    </row>
    <row r="15" spans="1:5" ht="45" customHeight="1" x14ac:dyDescent="0.2">
      <c r="A15" s="8">
        <v>14</v>
      </c>
      <c r="B15" s="8" t="s">
        <v>210</v>
      </c>
      <c r="C15" s="9" t="s">
        <v>9</v>
      </c>
      <c r="D15" s="8" t="s">
        <v>1008</v>
      </c>
      <c r="E15" s="10" t="s">
        <v>655</v>
      </c>
    </row>
    <row r="16" spans="1:5" ht="45" customHeight="1" x14ac:dyDescent="0.2">
      <c r="A16" s="8">
        <v>15</v>
      </c>
      <c r="B16" s="8" t="s">
        <v>216</v>
      </c>
      <c r="C16" s="9" t="s">
        <v>9</v>
      </c>
      <c r="D16" s="8" t="s">
        <v>1004</v>
      </c>
      <c r="E16" s="10" t="s">
        <v>1179</v>
      </c>
    </row>
    <row r="17" spans="1:5" ht="45" customHeight="1" x14ac:dyDescent="0.2">
      <c r="A17" s="8">
        <v>16</v>
      </c>
      <c r="B17" s="8" t="s">
        <v>219</v>
      </c>
      <c r="C17" s="9" t="s">
        <v>9</v>
      </c>
      <c r="D17" s="8" t="s">
        <v>1005</v>
      </c>
      <c r="E17" s="10" t="s">
        <v>1180</v>
      </c>
    </row>
    <row r="18" spans="1:5" ht="45" customHeight="1" x14ac:dyDescent="0.2">
      <c r="A18" s="8">
        <v>17</v>
      </c>
      <c r="B18" s="8" t="s">
        <v>225</v>
      </c>
      <c r="C18" s="9" t="s">
        <v>9</v>
      </c>
      <c r="D18" s="8" t="s">
        <v>1005</v>
      </c>
      <c r="E18" s="10" t="s">
        <v>531</v>
      </c>
    </row>
    <row r="19" spans="1:5" ht="45" customHeight="1" x14ac:dyDescent="0.2">
      <c r="A19" s="8">
        <v>18</v>
      </c>
      <c r="B19" s="8" t="s">
        <v>236</v>
      </c>
      <c r="C19" s="9" t="s">
        <v>9</v>
      </c>
      <c r="D19" s="8" t="s">
        <v>1005</v>
      </c>
      <c r="E19" s="10" t="s">
        <v>1181</v>
      </c>
    </row>
    <row r="20" spans="1:5" ht="45" customHeight="1" x14ac:dyDescent="0.2">
      <c r="A20" s="8">
        <v>19</v>
      </c>
      <c r="B20" s="8" t="s">
        <v>242</v>
      </c>
      <c r="C20" s="9" t="s">
        <v>9</v>
      </c>
      <c r="D20" s="8" t="s">
        <v>1004</v>
      </c>
      <c r="E20" s="10" t="s">
        <v>698</v>
      </c>
    </row>
    <row r="21" spans="1:5" ht="45" customHeight="1" x14ac:dyDescent="0.2">
      <c r="A21" s="8">
        <v>20</v>
      </c>
      <c r="B21" s="8" t="s">
        <v>248</v>
      </c>
      <c r="C21" s="9" t="s">
        <v>9</v>
      </c>
      <c r="D21" s="8" t="s">
        <v>1004</v>
      </c>
      <c r="E21" s="10" t="s">
        <v>1182</v>
      </c>
    </row>
    <row r="22" spans="1:5" ht="45" customHeight="1" x14ac:dyDescent="0.2">
      <c r="A22" s="8">
        <v>21</v>
      </c>
      <c r="B22" s="8" t="s">
        <v>255</v>
      </c>
      <c r="C22" s="9" t="s">
        <v>9</v>
      </c>
      <c r="D22" s="8" t="s">
        <v>1004</v>
      </c>
      <c r="E22" s="10" t="s">
        <v>719</v>
      </c>
    </row>
    <row r="23" spans="1:5" ht="45" customHeight="1" x14ac:dyDescent="0.2">
      <c r="A23" s="8">
        <v>22</v>
      </c>
      <c r="B23" s="8" t="s">
        <v>262</v>
      </c>
      <c r="C23" s="9" t="s">
        <v>9</v>
      </c>
      <c r="D23" s="8" t="s">
        <v>1004</v>
      </c>
      <c r="E23" s="10" t="s">
        <v>725</v>
      </c>
    </row>
    <row r="24" spans="1:5" ht="45" customHeight="1" x14ac:dyDescent="0.2">
      <c r="A24" s="8">
        <v>23</v>
      </c>
      <c r="B24" s="8" t="s">
        <v>358</v>
      </c>
      <c r="C24" s="9" t="s">
        <v>9</v>
      </c>
      <c r="D24" s="8" t="s">
        <v>1007</v>
      </c>
      <c r="E24" s="10" t="s">
        <v>866</v>
      </c>
    </row>
    <row r="25" spans="1:5" ht="45" customHeight="1" x14ac:dyDescent="0.2">
      <c r="A25" s="8">
        <v>24</v>
      </c>
      <c r="B25" s="8" t="s">
        <v>361</v>
      </c>
      <c r="C25" s="9" t="s">
        <v>9</v>
      </c>
      <c r="D25" s="8" t="s">
        <v>1005</v>
      </c>
      <c r="E25" s="10" t="s">
        <v>690</v>
      </c>
    </row>
    <row r="26" spans="1:5" ht="45" customHeight="1" x14ac:dyDescent="0.2">
      <c r="A26" s="8">
        <v>25</v>
      </c>
      <c r="B26" s="8" t="s">
        <v>363</v>
      </c>
      <c r="C26" s="9" t="s">
        <v>9</v>
      </c>
      <c r="D26" s="8" t="s">
        <v>1004</v>
      </c>
      <c r="E26" s="10" t="s">
        <v>873</v>
      </c>
    </row>
    <row r="27" spans="1:5" ht="45" customHeight="1" x14ac:dyDescent="0.2">
      <c r="A27" s="8">
        <v>26</v>
      </c>
      <c r="B27" s="8" t="s">
        <v>366</v>
      </c>
      <c r="C27" s="9" t="s">
        <v>9</v>
      </c>
      <c r="D27" s="8" t="s">
        <v>1005</v>
      </c>
      <c r="E27" s="10" t="s">
        <v>879</v>
      </c>
    </row>
    <row r="28" spans="1:5" ht="45" customHeight="1" x14ac:dyDescent="0.2">
      <c r="A28" s="8">
        <v>27</v>
      </c>
      <c r="B28" s="8" t="s">
        <v>373</v>
      </c>
      <c r="C28" s="9" t="s">
        <v>9</v>
      </c>
      <c r="D28" s="8" t="s">
        <v>1005</v>
      </c>
      <c r="E28" s="10" t="s">
        <v>888</v>
      </c>
    </row>
    <row r="29" spans="1:5" ht="55.5" customHeight="1" x14ac:dyDescent="0.2">
      <c r="A29" s="8">
        <v>28</v>
      </c>
      <c r="B29" s="8" t="s">
        <v>413</v>
      </c>
      <c r="C29" s="9" t="s">
        <v>9</v>
      </c>
      <c r="D29" s="8" t="s">
        <v>1008</v>
      </c>
      <c r="E29" s="10" t="s">
        <v>1183</v>
      </c>
    </row>
    <row r="30" spans="1:5" ht="45" customHeight="1" x14ac:dyDescent="0.2">
      <c r="A30" s="8">
        <v>29</v>
      </c>
      <c r="B30" s="8" t="s">
        <v>414</v>
      </c>
      <c r="C30" s="9" t="s">
        <v>9</v>
      </c>
      <c r="D30" s="8" t="s">
        <v>1008</v>
      </c>
      <c r="E30" s="10" t="s">
        <v>1184</v>
      </c>
    </row>
    <row r="31" spans="1:5" ht="55.5" customHeight="1" x14ac:dyDescent="0.2">
      <c r="A31" s="8">
        <v>30</v>
      </c>
      <c r="B31" s="8" t="s">
        <v>430</v>
      </c>
      <c r="C31" s="21" t="s">
        <v>12</v>
      </c>
      <c r="D31" s="8" t="s">
        <v>1009</v>
      </c>
      <c r="E31" s="10" t="s">
        <v>1185</v>
      </c>
    </row>
    <row r="32" spans="1:5" ht="97.5" customHeight="1" x14ac:dyDescent="0.2">
      <c r="A32" s="8">
        <v>31</v>
      </c>
      <c r="B32" s="8" t="s">
        <v>431</v>
      </c>
      <c r="C32" s="21" t="s">
        <v>12</v>
      </c>
      <c r="D32" s="8" t="s">
        <v>1009</v>
      </c>
      <c r="E32" s="10" t="s">
        <v>1186</v>
      </c>
    </row>
    <row r="33" spans="1:5" ht="45" customHeight="1" x14ac:dyDescent="0.2">
      <c r="A33" s="8">
        <v>32</v>
      </c>
      <c r="B33" s="8" t="s">
        <v>432</v>
      </c>
      <c r="C33" s="9" t="s">
        <v>9</v>
      </c>
      <c r="D33" s="8" t="s">
        <v>1004</v>
      </c>
      <c r="E33" s="10" t="s">
        <v>985</v>
      </c>
    </row>
    <row r="34" spans="1:5" ht="45" customHeight="1" x14ac:dyDescent="0.2">
      <c r="A34" s="8">
        <v>33</v>
      </c>
      <c r="B34" s="8" t="s">
        <v>374</v>
      </c>
      <c r="C34" s="9" t="s">
        <v>9</v>
      </c>
      <c r="D34" s="8" t="s">
        <v>1005</v>
      </c>
      <c r="E34" s="10" t="s">
        <v>1187</v>
      </c>
    </row>
    <row r="35" spans="1:5" ht="45" customHeight="1" x14ac:dyDescent="0.2">
      <c r="A35" s="8">
        <v>34</v>
      </c>
      <c r="B35" s="8" t="s">
        <v>1010</v>
      </c>
      <c r="C35" s="22" t="s">
        <v>10</v>
      </c>
      <c r="D35" s="8" t="s">
        <v>1011</v>
      </c>
      <c r="E35" s="10" t="s">
        <v>1188</v>
      </c>
    </row>
    <row r="36" spans="1:5" ht="45" customHeight="1" x14ac:dyDescent="0.2">
      <c r="A36" s="8">
        <v>35</v>
      </c>
      <c r="B36" s="8" t="s">
        <v>1012</v>
      </c>
      <c r="C36" s="22" t="s">
        <v>10</v>
      </c>
      <c r="D36" s="8" t="s">
        <v>1013</v>
      </c>
      <c r="E36" s="10" t="s">
        <v>1189</v>
      </c>
    </row>
    <row r="37" spans="1:5" ht="45" customHeight="1" x14ac:dyDescent="0.2">
      <c r="A37" s="8">
        <v>36</v>
      </c>
      <c r="B37" s="8" t="s">
        <v>1014</v>
      </c>
      <c r="C37" s="22" t="s">
        <v>10</v>
      </c>
      <c r="D37" s="8" t="s">
        <v>1015</v>
      </c>
      <c r="E37" s="10" t="s">
        <v>1190</v>
      </c>
    </row>
    <row r="38" spans="1:5" ht="84" customHeight="1" x14ac:dyDescent="0.2">
      <c r="A38" s="8">
        <v>37</v>
      </c>
      <c r="B38" s="8" t="s">
        <v>1016</v>
      </c>
      <c r="C38" s="22" t="s">
        <v>10</v>
      </c>
      <c r="D38" s="8" t="s">
        <v>1005</v>
      </c>
      <c r="E38" s="10" t="s">
        <v>1191</v>
      </c>
    </row>
    <row r="39" spans="1:5" ht="45" customHeight="1" x14ac:dyDescent="0.2">
      <c r="A39" s="8">
        <v>38</v>
      </c>
      <c r="B39" s="8" t="s">
        <v>1017</v>
      </c>
      <c r="C39" s="22" t="s">
        <v>10</v>
      </c>
      <c r="D39" s="8" t="s">
        <v>1018</v>
      </c>
      <c r="E39" s="10" t="s">
        <v>1192</v>
      </c>
    </row>
    <row r="40" spans="1:5" ht="69.75" customHeight="1" x14ac:dyDescent="0.2">
      <c r="A40" s="8">
        <v>39</v>
      </c>
      <c r="B40" s="8" t="s">
        <v>1019</v>
      </c>
      <c r="C40" s="22" t="s">
        <v>10</v>
      </c>
      <c r="D40" s="8" t="s">
        <v>1005</v>
      </c>
      <c r="E40" s="10" t="s">
        <v>1193</v>
      </c>
    </row>
    <row r="41" spans="1:5" ht="84" customHeight="1" x14ac:dyDescent="0.2">
      <c r="A41" s="8">
        <v>40</v>
      </c>
      <c r="B41" s="8" t="s">
        <v>1020</v>
      </c>
      <c r="C41" s="22" t="s">
        <v>10</v>
      </c>
      <c r="D41" s="8" t="s">
        <v>1021</v>
      </c>
      <c r="E41" s="10" t="s">
        <v>1194</v>
      </c>
    </row>
    <row r="42" spans="1:5" ht="97.5" customHeight="1" x14ac:dyDescent="0.2">
      <c r="A42" s="8">
        <v>41</v>
      </c>
      <c r="B42" s="8" t="s">
        <v>1022</v>
      </c>
      <c r="C42" s="22" t="s">
        <v>10</v>
      </c>
      <c r="D42" s="8" t="s">
        <v>1004</v>
      </c>
      <c r="E42" s="10" t="s">
        <v>1195</v>
      </c>
    </row>
    <row r="43" spans="1:5" ht="55.5" customHeight="1" x14ac:dyDescent="0.2">
      <c r="A43" s="8">
        <v>42</v>
      </c>
      <c r="B43" s="8" t="s">
        <v>1023</v>
      </c>
      <c r="C43" s="22" t="s">
        <v>10</v>
      </c>
      <c r="D43" s="8" t="s">
        <v>1024</v>
      </c>
      <c r="E43" s="10" t="s">
        <v>1196</v>
      </c>
    </row>
    <row r="44" spans="1:5" ht="69.75" customHeight="1" x14ac:dyDescent="0.2">
      <c r="A44" s="8">
        <v>43</v>
      </c>
      <c r="B44" s="8" t="s">
        <v>1025</v>
      </c>
      <c r="C44" s="22" t="s">
        <v>10</v>
      </c>
      <c r="D44" s="8" t="s">
        <v>1005</v>
      </c>
      <c r="E44" s="10" t="s">
        <v>1197</v>
      </c>
    </row>
    <row r="45" spans="1:5" ht="45" customHeight="1" x14ac:dyDescent="0.2">
      <c r="A45" s="8">
        <v>44</v>
      </c>
      <c r="B45" s="8" t="s">
        <v>1026</v>
      </c>
      <c r="C45" s="22" t="s">
        <v>10</v>
      </c>
      <c r="D45" s="8" t="s">
        <v>1027</v>
      </c>
      <c r="E45" s="10" t="s">
        <v>1198</v>
      </c>
    </row>
    <row r="46" spans="1:5" ht="55.5" customHeight="1" x14ac:dyDescent="0.2">
      <c r="A46" s="8">
        <v>45</v>
      </c>
      <c r="B46" s="8" t="s">
        <v>1028</v>
      </c>
      <c r="C46" s="22" t="s">
        <v>10</v>
      </c>
      <c r="D46" s="8" t="s">
        <v>1005</v>
      </c>
      <c r="E46" s="10" t="s">
        <v>1199</v>
      </c>
    </row>
    <row r="47" spans="1:5" ht="84" customHeight="1" x14ac:dyDescent="0.2">
      <c r="A47" s="8">
        <v>46</v>
      </c>
      <c r="B47" s="8" t="s">
        <v>1029</v>
      </c>
      <c r="C47" s="22" t="s">
        <v>10</v>
      </c>
      <c r="D47" s="8" t="s">
        <v>1030</v>
      </c>
      <c r="E47" s="10" t="s">
        <v>1200</v>
      </c>
    </row>
    <row r="48" spans="1:5" ht="45" customHeight="1" x14ac:dyDescent="0.2">
      <c r="A48" s="8">
        <v>47</v>
      </c>
      <c r="B48" s="8" t="s">
        <v>1031</v>
      </c>
      <c r="C48" s="22" t="s">
        <v>10</v>
      </c>
      <c r="D48" s="8" t="s">
        <v>1030</v>
      </c>
      <c r="E48" s="10" t="s">
        <v>1201</v>
      </c>
    </row>
    <row r="49" spans="1:5" ht="55.5" customHeight="1" x14ac:dyDescent="0.2">
      <c r="A49" s="8">
        <v>48</v>
      </c>
      <c r="B49" s="8" t="s">
        <v>1032</v>
      </c>
      <c r="C49" s="22" t="s">
        <v>10</v>
      </c>
      <c r="D49" s="8" t="s">
        <v>1033</v>
      </c>
      <c r="E49" s="10" t="s">
        <v>1202</v>
      </c>
    </row>
    <row r="50" spans="1:5" ht="45" customHeight="1" x14ac:dyDescent="0.2">
      <c r="A50" s="8">
        <v>49</v>
      </c>
      <c r="B50" s="8" t="s">
        <v>1034</v>
      </c>
      <c r="C50" s="23" t="s">
        <v>11</v>
      </c>
      <c r="D50" s="8" t="s">
        <v>1035</v>
      </c>
      <c r="E50" s="10" t="s">
        <v>1203</v>
      </c>
    </row>
    <row r="51" spans="1:5" ht="55.5" customHeight="1" x14ac:dyDescent="0.2">
      <c r="A51" s="8">
        <v>50</v>
      </c>
      <c r="B51" s="8" t="s">
        <v>1036</v>
      </c>
      <c r="C51" s="23" t="s">
        <v>11</v>
      </c>
      <c r="D51" s="8" t="s">
        <v>1035</v>
      </c>
      <c r="E51" s="10" t="s">
        <v>1204</v>
      </c>
    </row>
    <row r="52" spans="1:5" ht="45" customHeight="1" x14ac:dyDescent="0.2">
      <c r="A52" s="8">
        <v>51</v>
      </c>
      <c r="B52" s="8" t="s">
        <v>1037</v>
      </c>
      <c r="C52" s="23" t="s">
        <v>11</v>
      </c>
      <c r="D52" s="8" t="s">
        <v>1035</v>
      </c>
      <c r="E52" s="10" t="s">
        <v>1205</v>
      </c>
    </row>
    <row r="53" spans="1:5" ht="69.75" customHeight="1" x14ac:dyDescent="0.2">
      <c r="A53" s="8">
        <v>52</v>
      </c>
      <c r="B53" s="8" t="s">
        <v>1038</v>
      </c>
      <c r="C53" s="23" t="s">
        <v>11</v>
      </c>
      <c r="D53" s="8" t="s">
        <v>1035</v>
      </c>
      <c r="E53" s="10" t="s">
        <v>1206</v>
      </c>
    </row>
    <row r="54" spans="1:5" ht="55.5" customHeight="1" x14ac:dyDescent="0.2">
      <c r="A54" s="8">
        <v>53</v>
      </c>
      <c r="B54" s="8" t="s">
        <v>1039</v>
      </c>
      <c r="C54" s="23" t="s">
        <v>11</v>
      </c>
      <c r="D54" s="8" t="s">
        <v>1040</v>
      </c>
      <c r="E54" s="10" t="s">
        <v>1207</v>
      </c>
    </row>
    <row r="55" spans="1:5" ht="69.75" customHeight="1" x14ac:dyDescent="0.2">
      <c r="A55" s="8">
        <v>54</v>
      </c>
      <c r="B55" s="8" t="s">
        <v>1041</v>
      </c>
      <c r="C55" s="23" t="s">
        <v>11</v>
      </c>
      <c r="D55" s="8" t="s">
        <v>1035</v>
      </c>
      <c r="E55" s="10" t="s">
        <v>1208</v>
      </c>
    </row>
    <row r="56" spans="1:5" ht="45" customHeight="1" x14ac:dyDescent="0.2">
      <c r="A56" s="8">
        <v>55</v>
      </c>
      <c r="B56" s="8" t="s">
        <v>1042</v>
      </c>
      <c r="C56" s="23" t="s">
        <v>11</v>
      </c>
      <c r="D56" s="8" t="s">
        <v>1035</v>
      </c>
      <c r="E56" s="10" t="s">
        <v>1209</v>
      </c>
    </row>
    <row r="57" spans="1:5" ht="97.5" customHeight="1" x14ac:dyDescent="0.2">
      <c r="A57" s="8">
        <v>56</v>
      </c>
      <c r="B57" s="8" t="s">
        <v>1043</v>
      </c>
      <c r="C57" s="23" t="s">
        <v>11</v>
      </c>
      <c r="D57" s="8" t="s">
        <v>1035</v>
      </c>
      <c r="E57" s="10" t="s">
        <v>1210</v>
      </c>
    </row>
    <row r="58" spans="1:5" ht="84" customHeight="1" x14ac:dyDescent="0.2">
      <c r="A58" s="8">
        <v>57</v>
      </c>
      <c r="B58" s="8" t="s">
        <v>1044</v>
      </c>
      <c r="C58" s="23" t="s">
        <v>11</v>
      </c>
      <c r="D58" s="8" t="s">
        <v>1035</v>
      </c>
      <c r="E58" s="10" t="s">
        <v>1211</v>
      </c>
    </row>
    <row r="59" spans="1:5" ht="69.75" customHeight="1" x14ac:dyDescent="0.2">
      <c r="A59" s="8">
        <v>58</v>
      </c>
      <c r="B59" s="8" t="s">
        <v>1045</v>
      </c>
      <c r="C59" s="23" t="s">
        <v>11</v>
      </c>
      <c r="D59" s="8" t="s">
        <v>1005</v>
      </c>
      <c r="E59" s="10" t="s">
        <v>1212</v>
      </c>
    </row>
    <row r="60" spans="1:5" ht="69.75" customHeight="1" x14ac:dyDescent="0.2">
      <c r="A60" s="8">
        <v>59</v>
      </c>
      <c r="B60" s="8" t="s">
        <v>1046</v>
      </c>
      <c r="C60" s="23" t="s">
        <v>11</v>
      </c>
      <c r="D60" s="8" t="s">
        <v>1030</v>
      </c>
      <c r="E60" s="10" t="s">
        <v>1213</v>
      </c>
    </row>
    <row r="61" spans="1:5" ht="55.5" customHeight="1" x14ac:dyDescent="0.2">
      <c r="A61" s="8">
        <v>60</v>
      </c>
      <c r="B61" s="8" t="s">
        <v>1047</v>
      </c>
      <c r="C61" s="23" t="s">
        <v>11</v>
      </c>
      <c r="D61" s="8" t="s">
        <v>1040</v>
      </c>
      <c r="E61" s="10" t="s">
        <v>1214</v>
      </c>
    </row>
    <row r="62" spans="1:5" ht="69.75" customHeight="1" x14ac:dyDescent="0.2">
      <c r="A62" s="8">
        <v>61</v>
      </c>
      <c r="B62" s="8" t="s">
        <v>1048</v>
      </c>
      <c r="C62" s="23" t="s">
        <v>11</v>
      </c>
      <c r="D62" s="8" t="s">
        <v>1049</v>
      </c>
      <c r="E62" s="10" t="s">
        <v>1215</v>
      </c>
    </row>
    <row r="63" spans="1:5" ht="69.75" customHeight="1" x14ac:dyDescent="0.2">
      <c r="A63" s="8">
        <v>62</v>
      </c>
      <c r="B63" s="8" t="s">
        <v>1050</v>
      </c>
      <c r="C63" s="23" t="s">
        <v>11</v>
      </c>
      <c r="D63" s="8" t="s">
        <v>1004</v>
      </c>
      <c r="E63" s="10" t="s">
        <v>1216</v>
      </c>
    </row>
    <row r="64" spans="1:5" ht="69.75" customHeight="1" x14ac:dyDescent="0.2">
      <c r="A64" s="8">
        <v>63</v>
      </c>
      <c r="B64" s="8" t="s">
        <v>1051</v>
      </c>
      <c r="C64" s="23" t="s">
        <v>11</v>
      </c>
      <c r="D64" s="8" t="s">
        <v>1049</v>
      </c>
      <c r="E64" s="10" t="s">
        <v>1217</v>
      </c>
    </row>
    <row r="65" spans="1:5" ht="45" customHeight="1" x14ac:dyDescent="0.2">
      <c r="A65" s="8">
        <v>64</v>
      </c>
      <c r="B65" s="8" t="s">
        <v>1052</v>
      </c>
      <c r="C65" s="21" t="s">
        <v>12</v>
      </c>
      <c r="D65" s="8" t="s">
        <v>1053</v>
      </c>
      <c r="E65" s="10" t="s">
        <v>1218</v>
      </c>
    </row>
    <row r="66" spans="1:5" ht="45" customHeight="1" x14ac:dyDescent="0.2">
      <c r="A66" s="8">
        <v>65</v>
      </c>
      <c r="B66" s="8" t="s">
        <v>1054</v>
      </c>
      <c r="C66" s="21" t="s">
        <v>12</v>
      </c>
      <c r="D66" s="8" t="s">
        <v>1055</v>
      </c>
      <c r="E66" s="10" t="s">
        <v>1219</v>
      </c>
    </row>
    <row r="67" spans="1:5" ht="69.75" customHeight="1" x14ac:dyDescent="0.2">
      <c r="A67" s="8">
        <v>66</v>
      </c>
      <c r="B67" s="8" t="s">
        <v>1056</v>
      </c>
      <c r="C67" s="21" t="s">
        <v>12</v>
      </c>
      <c r="D67" s="8" t="s">
        <v>1053</v>
      </c>
      <c r="E67" s="10" t="s">
        <v>1220</v>
      </c>
    </row>
    <row r="68" spans="1:5" ht="45" customHeight="1" x14ac:dyDescent="0.2">
      <c r="A68" s="8">
        <v>67</v>
      </c>
      <c r="B68" s="8" t="s">
        <v>1057</v>
      </c>
      <c r="C68" s="21" t="s">
        <v>12</v>
      </c>
      <c r="D68" s="8" t="s">
        <v>1058</v>
      </c>
      <c r="E68" s="10" t="s">
        <v>1221</v>
      </c>
    </row>
    <row r="69" spans="1:5" ht="97.5" customHeight="1" x14ac:dyDescent="0.2">
      <c r="A69" s="8">
        <v>68</v>
      </c>
      <c r="B69" s="8" t="s">
        <v>1059</v>
      </c>
      <c r="C69" s="21" t="s">
        <v>12</v>
      </c>
      <c r="D69" s="8" t="s">
        <v>1060</v>
      </c>
      <c r="E69" s="10" t="s">
        <v>1222</v>
      </c>
    </row>
    <row r="70" spans="1:5" ht="111.75" customHeight="1" x14ac:dyDescent="0.2">
      <c r="A70" s="8">
        <v>69</v>
      </c>
      <c r="B70" s="8" t="s">
        <v>1061</v>
      </c>
      <c r="C70" s="21" t="s">
        <v>12</v>
      </c>
      <c r="D70" s="8" t="s">
        <v>1053</v>
      </c>
      <c r="E70" s="10" t="s">
        <v>1223</v>
      </c>
    </row>
    <row r="71" spans="1:5" ht="111.75" customHeight="1" x14ac:dyDescent="0.2">
      <c r="A71" s="8">
        <v>70</v>
      </c>
      <c r="B71" s="8" t="s">
        <v>1062</v>
      </c>
      <c r="C71" s="21" t="s">
        <v>12</v>
      </c>
      <c r="D71" s="8" t="s">
        <v>1063</v>
      </c>
      <c r="E71" s="10" t="s">
        <v>1224</v>
      </c>
    </row>
    <row r="72" spans="1:5" ht="55.5" customHeight="1" x14ac:dyDescent="0.2">
      <c r="A72" s="8">
        <v>71</v>
      </c>
      <c r="B72" s="8" t="s">
        <v>1064</v>
      </c>
      <c r="C72" s="21" t="s">
        <v>12</v>
      </c>
      <c r="D72" s="8" t="s">
        <v>1065</v>
      </c>
      <c r="E72" s="10" t="s">
        <v>1225</v>
      </c>
    </row>
    <row r="73" spans="1:5" ht="45" customHeight="1" x14ac:dyDescent="0.2">
      <c r="A73" s="8">
        <v>72</v>
      </c>
      <c r="B73" s="8" t="s">
        <v>1066</v>
      </c>
      <c r="C73" s="21" t="s">
        <v>12</v>
      </c>
      <c r="D73" s="8" t="s">
        <v>1065</v>
      </c>
      <c r="E73" s="10" t="s">
        <v>1226</v>
      </c>
    </row>
    <row r="74" spans="1:5" ht="139.5" customHeight="1" x14ac:dyDescent="0.2">
      <c r="A74" s="8">
        <v>73</v>
      </c>
      <c r="B74" s="8" t="s">
        <v>1067</v>
      </c>
      <c r="C74" s="21" t="s">
        <v>12</v>
      </c>
      <c r="D74" s="8" t="s">
        <v>1065</v>
      </c>
      <c r="E74" s="10" t="s">
        <v>1227</v>
      </c>
    </row>
    <row r="75" spans="1:5" ht="97.5" customHeight="1" x14ac:dyDescent="0.2">
      <c r="A75" s="8">
        <v>74</v>
      </c>
      <c r="B75" s="8" t="s">
        <v>1068</v>
      </c>
      <c r="C75" s="21" t="s">
        <v>12</v>
      </c>
      <c r="D75" s="8" t="s">
        <v>1065</v>
      </c>
      <c r="E75" s="10" t="s">
        <v>1228</v>
      </c>
    </row>
    <row r="76" spans="1:5" ht="55.5" customHeight="1" x14ac:dyDescent="0.2">
      <c r="A76" s="8">
        <v>75</v>
      </c>
      <c r="B76" s="8" t="s">
        <v>1069</v>
      </c>
      <c r="C76" s="21" t="s">
        <v>12</v>
      </c>
      <c r="D76" s="8" t="s">
        <v>1065</v>
      </c>
      <c r="E76" s="10" t="s">
        <v>1229</v>
      </c>
    </row>
    <row r="77" spans="1:5" ht="45" customHeight="1" x14ac:dyDescent="0.2">
      <c r="A77" s="8">
        <v>76</v>
      </c>
      <c r="B77" s="8" t="s">
        <v>1070</v>
      </c>
      <c r="C77" s="21" t="s">
        <v>12</v>
      </c>
      <c r="D77" s="8" t="s">
        <v>1065</v>
      </c>
      <c r="E77" s="10" t="s">
        <v>1230</v>
      </c>
    </row>
    <row r="78" spans="1:5" ht="69.75" customHeight="1" x14ac:dyDescent="0.2">
      <c r="A78" s="8">
        <v>77</v>
      </c>
      <c r="B78" s="8" t="s">
        <v>1071</v>
      </c>
      <c r="C78" s="21" t="s">
        <v>12</v>
      </c>
      <c r="D78" s="8" t="s">
        <v>1053</v>
      </c>
      <c r="E78" s="10" t="s">
        <v>1231</v>
      </c>
    </row>
    <row r="79" spans="1:5" ht="45" customHeight="1" x14ac:dyDescent="0.2">
      <c r="A79" s="8">
        <v>78</v>
      </c>
      <c r="B79" s="8" t="s">
        <v>1072</v>
      </c>
      <c r="C79" s="21" t="s">
        <v>12</v>
      </c>
      <c r="D79" s="8" t="s">
        <v>1053</v>
      </c>
      <c r="E79" s="10" t="s">
        <v>1232</v>
      </c>
    </row>
    <row r="80" spans="1:5" ht="126" customHeight="1" x14ac:dyDescent="0.2">
      <c r="A80" s="8">
        <v>79</v>
      </c>
      <c r="B80" s="8" t="s">
        <v>1073</v>
      </c>
      <c r="C80" s="21" t="s">
        <v>12</v>
      </c>
      <c r="D80" s="8" t="s">
        <v>1053</v>
      </c>
      <c r="E80" s="10" t="s">
        <v>1233</v>
      </c>
    </row>
    <row r="81" spans="1:5" ht="111.75" customHeight="1" x14ac:dyDescent="0.2">
      <c r="A81" s="8">
        <v>80</v>
      </c>
      <c r="B81" s="8" t="s">
        <v>1074</v>
      </c>
      <c r="C81" s="21" t="s">
        <v>12</v>
      </c>
      <c r="D81" s="8" t="s">
        <v>1053</v>
      </c>
      <c r="E81" s="10" t="s">
        <v>1234</v>
      </c>
    </row>
    <row r="82" spans="1:5" ht="97.5" customHeight="1" x14ac:dyDescent="0.2">
      <c r="A82" s="8">
        <v>81</v>
      </c>
      <c r="B82" s="8" t="s">
        <v>1075</v>
      </c>
      <c r="C82" s="21" t="s">
        <v>12</v>
      </c>
      <c r="D82" s="8" t="s">
        <v>1053</v>
      </c>
      <c r="E82" s="10" t="s">
        <v>1235</v>
      </c>
    </row>
    <row r="83" spans="1:5" ht="195.75" customHeight="1" x14ac:dyDescent="0.2">
      <c r="A83" s="8">
        <v>82</v>
      </c>
      <c r="B83" s="8" t="s">
        <v>1076</v>
      </c>
      <c r="C83" s="21" t="s">
        <v>12</v>
      </c>
      <c r="D83" s="8" t="s">
        <v>1053</v>
      </c>
      <c r="E83" s="10" t="s">
        <v>1236</v>
      </c>
    </row>
    <row r="84" spans="1:5" ht="97.5" customHeight="1" x14ac:dyDescent="0.2">
      <c r="A84" s="8">
        <v>83</v>
      </c>
      <c r="B84" s="8" t="s">
        <v>1077</v>
      </c>
      <c r="C84" s="21" t="s">
        <v>12</v>
      </c>
      <c r="D84" s="8" t="s">
        <v>1053</v>
      </c>
      <c r="E84" s="10" t="s">
        <v>1237</v>
      </c>
    </row>
    <row r="85" spans="1:5" ht="97.5" customHeight="1" x14ac:dyDescent="0.2">
      <c r="A85" s="8">
        <v>84</v>
      </c>
      <c r="B85" s="8" t="s">
        <v>1078</v>
      </c>
      <c r="C85" s="21" t="s">
        <v>12</v>
      </c>
      <c r="D85" s="8" t="s">
        <v>1055</v>
      </c>
      <c r="E85" s="10" t="s">
        <v>1238</v>
      </c>
    </row>
    <row r="86" spans="1:5" ht="126" customHeight="1" x14ac:dyDescent="0.2">
      <c r="A86" s="8">
        <v>85</v>
      </c>
      <c r="B86" s="8" t="s">
        <v>1079</v>
      </c>
      <c r="C86" s="21" t="s">
        <v>12</v>
      </c>
      <c r="D86" s="8" t="s">
        <v>1055</v>
      </c>
      <c r="E86" s="10" t="s">
        <v>1239</v>
      </c>
    </row>
    <row r="87" spans="1:5" ht="153.75" customHeight="1" x14ac:dyDescent="0.2">
      <c r="A87" s="8">
        <v>86</v>
      </c>
      <c r="B87" s="8" t="s">
        <v>1080</v>
      </c>
      <c r="C87" s="21" t="s">
        <v>12</v>
      </c>
      <c r="D87" s="8" t="s">
        <v>1055</v>
      </c>
      <c r="E87" s="10" t="s">
        <v>1240</v>
      </c>
    </row>
    <row r="88" spans="1:5" ht="97.5" customHeight="1" x14ac:dyDescent="0.2">
      <c r="A88" s="8">
        <v>87</v>
      </c>
      <c r="B88" s="8" t="s">
        <v>1081</v>
      </c>
      <c r="C88" s="21" t="s">
        <v>12</v>
      </c>
      <c r="D88" s="8" t="s">
        <v>1053</v>
      </c>
      <c r="E88" s="10" t="s">
        <v>1241</v>
      </c>
    </row>
    <row r="89" spans="1:5" ht="111.75" customHeight="1" x14ac:dyDescent="0.2">
      <c r="A89" s="8">
        <v>88</v>
      </c>
      <c r="B89" s="8" t="s">
        <v>1082</v>
      </c>
      <c r="C89" s="21" t="s">
        <v>12</v>
      </c>
      <c r="D89" s="8" t="s">
        <v>1053</v>
      </c>
      <c r="E89" s="10" t="s">
        <v>1242</v>
      </c>
    </row>
    <row r="90" spans="1:5" ht="153.75" customHeight="1" x14ac:dyDescent="0.2">
      <c r="A90" s="8">
        <v>89</v>
      </c>
      <c r="B90" s="8" t="s">
        <v>1083</v>
      </c>
      <c r="C90" s="21" t="s">
        <v>12</v>
      </c>
      <c r="D90" s="8" t="s">
        <v>1053</v>
      </c>
      <c r="E90" s="10" t="s">
        <v>1243</v>
      </c>
    </row>
    <row r="91" spans="1:5" ht="97.5" customHeight="1" x14ac:dyDescent="0.2">
      <c r="A91" s="8">
        <v>90</v>
      </c>
      <c r="B91" s="8" t="s">
        <v>1084</v>
      </c>
      <c r="C91" s="21" t="s">
        <v>12</v>
      </c>
      <c r="D91" s="8" t="s">
        <v>1053</v>
      </c>
      <c r="E91" s="10" t="s">
        <v>1244</v>
      </c>
    </row>
    <row r="92" spans="1:5" ht="97.5" customHeight="1" x14ac:dyDescent="0.2">
      <c r="A92" s="8">
        <v>91</v>
      </c>
      <c r="B92" s="8" t="s">
        <v>1085</v>
      </c>
      <c r="C92" s="21" t="s">
        <v>12</v>
      </c>
      <c r="D92" s="8" t="s">
        <v>1086</v>
      </c>
      <c r="E92" s="10" t="s">
        <v>1245</v>
      </c>
    </row>
    <row r="93" spans="1:5" ht="168" customHeight="1" x14ac:dyDescent="0.2">
      <c r="A93" s="8">
        <v>92</v>
      </c>
      <c r="B93" s="8" t="s">
        <v>1087</v>
      </c>
      <c r="C93" s="21" t="s">
        <v>12</v>
      </c>
      <c r="D93" s="8" t="s">
        <v>1053</v>
      </c>
      <c r="E93" s="10" t="s">
        <v>1246</v>
      </c>
    </row>
    <row r="94" spans="1:5" ht="84" customHeight="1" x14ac:dyDescent="0.2">
      <c r="A94" s="8">
        <v>93</v>
      </c>
      <c r="B94" s="8" t="s">
        <v>1088</v>
      </c>
      <c r="C94" s="21" t="s">
        <v>12</v>
      </c>
      <c r="D94" s="8" t="s">
        <v>1063</v>
      </c>
      <c r="E94" s="10" t="s">
        <v>1247</v>
      </c>
    </row>
    <row r="95" spans="1:5" ht="126" customHeight="1" x14ac:dyDescent="0.2">
      <c r="A95" s="8">
        <v>94</v>
      </c>
      <c r="B95" s="8" t="s">
        <v>1089</v>
      </c>
      <c r="C95" s="21" t="s">
        <v>12</v>
      </c>
      <c r="D95" s="8" t="s">
        <v>1063</v>
      </c>
      <c r="E95" s="10" t="s">
        <v>1248</v>
      </c>
    </row>
    <row r="96" spans="1:5" ht="69.75" customHeight="1" x14ac:dyDescent="0.2">
      <c r="A96" s="8">
        <v>95</v>
      </c>
      <c r="B96" s="8" t="s">
        <v>1090</v>
      </c>
      <c r="C96" s="21" t="s">
        <v>12</v>
      </c>
      <c r="D96" s="8" t="s">
        <v>1065</v>
      </c>
      <c r="E96" s="10" t="s">
        <v>1249</v>
      </c>
    </row>
    <row r="97" spans="1:5" ht="168" customHeight="1" x14ac:dyDescent="0.2">
      <c r="A97" s="8">
        <v>96</v>
      </c>
      <c r="B97" s="8" t="s">
        <v>1091</v>
      </c>
      <c r="C97" s="21" t="s">
        <v>12</v>
      </c>
      <c r="D97" s="8" t="s">
        <v>1065</v>
      </c>
      <c r="E97" s="10" t="s">
        <v>1250</v>
      </c>
    </row>
    <row r="98" spans="1:5" ht="55.5" customHeight="1" x14ac:dyDescent="0.2">
      <c r="A98" s="8">
        <v>97</v>
      </c>
      <c r="B98" s="8" t="s">
        <v>1092</v>
      </c>
      <c r="C98" s="21" t="s">
        <v>12</v>
      </c>
      <c r="D98" s="8" t="s">
        <v>1065</v>
      </c>
      <c r="E98" s="10" t="s">
        <v>1251</v>
      </c>
    </row>
    <row r="99" spans="1:5" ht="97.5" customHeight="1" x14ac:dyDescent="0.2">
      <c r="A99" s="8">
        <v>98</v>
      </c>
      <c r="B99" s="8" t="s">
        <v>1093</v>
      </c>
      <c r="C99" s="21" t="s">
        <v>12</v>
      </c>
      <c r="D99" s="8" t="s">
        <v>1065</v>
      </c>
      <c r="E99" s="10" t="s">
        <v>1252</v>
      </c>
    </row>
    <row r="100" spans="1:5" ht="45" customHeight="1" x14ac:dyDescent="0.2">
      <c r="A100" s="8">
        <v>99</v>
      </c>
      <c r="B100" s="8" t="s">
        <v>1094</v>
      </c>
      <c r="C100" s="21" t="s">
        <v>12</v>
      </c>
      <c r="D100" s="8" t="s">
        <v>1053</v>
      </c>
      <c r="E100" s="10" t="s">
        <v>1253</v>
      </c>
    </row>
    <row r="101" spans="1:5" ht="45" customHeight="1" x14ac:dyDescent="0.2">
      <c r="A101" s="8">
        <v>100</v>
      </c>
      <c r="B101" s="8" t="s">
        <v>1095</v>
      </c>
      <c r="C101" s="21" t="s">
        <v>12</v>
      </c>
      <c r="D101" s="8" t="s">
        <v>1053</v>
      </c>
      <c r="E101" s="10" t="s">
        <v>1254</v>
      </c>
    </row>
    <row r="102" spans="1:5" ht="69.75" customHeight="1" x14ac:dyDescent="0.2">
      <c r="A102" s="8">
        <v>101</v>
      </c>
      <c r="B102" s="8" t="s">
        <v>1096</v>
      </c>
      <c r="C102" s="21" t="s">
        <v>12</v>
      </c>
      <c r="D102" s="8" t="s">
        <v>1053</v>
      </c>
      <c r="E102" s="10" t="s">
        <v>1255</v>
      </c>
    </row>
    <row r="103" spans="1:5" ht="111.75" customHeight="1" x14ac:dyDescent="0.2">
      <c r="A103" s="8">
        <v>102</v>
      </c>
      <c r="B103" s="8" t="s">
        <v>1097</v>
      </c>
      <c r="C103" s="21" t="s">
        <v>12</v>
      </c>
      <c r="D103" s="8" t="s">
        <v>1053</v>
      </c>
      <c r="E103" s="10" t="s">
        <v>1256</v>
      </c>
    </row>
    <row r="104" spans="1:5" ht="45" customHeight="1" x14ac:dyDescent="0.2">
      <c r="A104" s="8">
        <v>103</v>
      </c>
      <c r="B104" s="8" t="s">
        <v>1098</v>
      </c>
      <c r="C104" s="21" t="s">
        <v>12</v>
      </c>
      <c r="D104" s="8" t="s">
        <v>1053</v>
      </c>
      <c r="E104" s="10" t="s">
        <v>1257</v>
      </c>
    </row>
    <row r="105" spans="1:5" ht="153.75" customHeight="1" x14ac:dyDescent="0.2">
      <c r="A105" s="8">
        <v>104</v>
      </c>
      <c r="B105" s="8" t="s">
        <v>1099</v>
      </c>
      <c r="C105" s="21" t="s">
        <v>12</v>
      </c>
      <c r="D105" s="8" t="s">
        <v>1053</v>
      </c>
      <c r="E105" s="10" t="s">
        <v>1258</v>
      </c>
    </row>
    <row r="106" spans="1:5" ht="153.75" customHeight="1" x14ac:dyDescent="0.2">
      <c r="A106" s="8">
        <v>105</v>
      </c>
      <c r="B106" s="8" t="s">
        <v>1100</v>
      </c>
      <c r="C106" s="21" t="s">
        <v>12</v>
      </c>
      <c r="D106" s="8" t="s">
        <v>1101</v>
      </c>
      <c r="E106" s="10" t="s">
        <v>1259</v>
      </c>
    </row>
    <row r="107" spans="1:5" ht="153.75" customHeight="1" x14ac:dyDescent="0.2">
      <c r="A107" s="8">
        <v>106</v>
      </c>
      <c r="B107" s="8" t="s">
        <v>1102</v>
      </c>
      <c r="C107" s="21" t="s">
        <v>12</v>
      </c>
      <c r="D107" s="8" t="s">
        <v>1101</v>
      </c>
      <c r="E107" s="10" t="s">
        <v>1260</v>
      </c>
    </row>
    <row r="108" spans="1:5" ht="181.5" customHeight="1" x14ac:dyDescent="0.2">
      <c r="A108" s="8">
        <v>107</v>
      </c>
      <c r="B108" s="8" t="s">
        <v>1103</v>
      </c>
      <c r="C108" s="21" t="s">
        <v>12</v>
      </c>
      <c r="D108" s="8" t="s">
        <v>1101</v>
      </c>
      <c r="E108" s="10" t="s">
        <v>1261</v>
      </c>
    </row>
    <row r="109" spans="1:5" ht="84" customHeight="1" x14ac:dyDescent="0.2">
      <c r="A109" s="8">
        <v>108</v>
      </c>
      <c r="B109" s="8" t="s">
        <v>1104</v>
      </c>
      <c r="C109" s="21" t="s">
        <v>12</v>
      </c>
      <c r="D109" s="8" t="s">
        <v>1053</v>
      </c>
      <c r="E109" s="10" t="s">
        <v>1262</v>
      </c>
    </row>
    <row r="110" spans="1:5" ht="84" customHeight="1" x14ac:dyDescent="0.2">
      <c r="A110" s="8">
        <v>109</v>
      </c>
      <c r="B110" s="8" t="s">
        <v>1105</v>
      </c>
      <c r="C110" s="21" t="s">
        <v>12</v>
      </c>
      <c r="D110" s="8" t="s">
        <v>1053</v>
      </c>
      <c r="E110" s="10" t="s">
        <v>1263</v>
      </c>
    </row>
    <row r="111" spans="1:5" ht="97.5" customHeight="1" x14ac:dyDescent="0.2">
      <c r="A111" s="8">
        <v>110</v>
      </c>
      <c r="B111" s="8" t="s">
        <v>1106</v>
      </c>
      <c r="C111" s="21" t="s">
        <v>12</v>
      </c>
      <c r="D111" s="8" t="s">
        <v>1053</v>
      </c>
      <c r="E111" s="10" t="s">
        <v>1264</v>
      </c>
    </row>
    <row r="112" spans="1:5" ht="97.5" customHeight="1" x14ac:dyDescent="0.2">
      <c r="A112" s="8">
        <v>111</v>
      </c>
      <c r="B112" s="8" t="s">
        <v>1107</v>
      </c>
      <c r="C112" s="21" t="s">
        <v>12</v>
      </c>
      <c r="D112" s="8" t="s">
        <v>1108</v>
      </c>
      <c r="E112" s="10" t="s">
        <v>1265</v>
      </c>
    </row>
    <row r="113" spans="1:5" ht="45" customHeight="1" x14ac:dyDescent="0.2">
      <c r="A113" s="8">
        <v>112</v>
      </c>
      <c r="B113" s="8" t="s">
        <v>1109</v>
      </c>
      <c r="C113" s="24" t="s">
        <v>13</v>
      </c>
      <c r="D113" s="8"/>
      <c r="E113" s="10" t="s">
        <v>1266</v>
      </c>
    </row>
    <row r="114" spans="1:5" ht="84" customHeight="1" x14ac:dyDescent="0.2">
      <c r="A114" s="8">
        <v>113</v>
      </c>
      <c r="B114" s="8" t="s">
        <v>1110</v>
      </c>
      <c r="C114" s="24" t="s">
        <v>13</v>
      </c>
      <c r="D114" s="8"/>
      <c r="E114" s="10" t="s">
        <v>1267</v>
      </c>
    </row>
    <row r="115" spans="1:5" ht="45" customHeight="1" x14ac:dyDescent="0.2">
      <c r="A115" s="8">
        <v>114</v>
      </c>
      <c r="B115" s="8" t="s">
        <v>1111</v>
      </c>
      <c r="C115" s="24" t="s">
        <v>13</v>
      </c>
      <c r="D115" s="8"/>
      <c r="E115" s="10" t="s">
        <v>1268</v>
      </c>
    </row>
    <row r="116" spans="1:5" ht="45" customHeight="1" x14ac:dyDescent="0.2">
      <c r="A116" s="8">
        <v>115</v>
      </c>
      <c r="B116" s="8" t="s">
        <v>1112</v>
      </c>
      <c r="C116" s="24" t="s">
        <v>13</v>
      </c>
      <c r="D116" s="8"/>
      <c r="E116" s="10" t="s">
        <v>1269</v>
      </c>
    </row>
    <row r="117" spans="1:5" ht="45" customHeight="1" x14ac:dyDescent="0.2">
      <c r="A117" s="8">
        <v>116</v>
      </c>
      <c r="B117" s="8" t="s">
        <v>1113</v>
      </c>
      <c r="C117" s="24" t="s">
        <v>13</v>
      </c>
      <c r="D117" s="8"/>
      <c r="E117" s="10" t="s">
        <v>1270</v>
      </c>
    </row>
    <row r="118" spans="1:5" ht="45" customHeight="1" x14ac:dyDescent="0.2">
      <c r="A118" s="8">
        <v>117</v>
      </c>
      <c r="B118" s="8" t="s">
        <v>1114</v>
      </c>
      <c r="C118" s="24" t="s">
        <v>13</v>
      </c>
      <c r="D118" s="8"/>
      <c r="E118" s="10" t="s">
        <v>1271</v>
      </c>
    </row>
    <row r="119" spans="1:5" ht="45" customHeight="1" x14ac:dyDescent="0.2">
      <c r="A119" s="8">
        <v>118</v>
      </c>
      <c r="B119" s="8" t="s">
        <v>1115</v>
      </c>
      <c r="C119" s="24" t="s">
        <v>13</v>
      </c>
      <c r="D119" s="8"/>
      <c r="E119" s="10" t="s">
        <v>1272</v>
      </c>
    </row>
    <row r="120" spans="1:5" ht="45" customHeight="1" x14ac:dyDescent="0.2">
      <c r="A120" s="8">
        <v>119</v>
      </c>
      <c r="B120" s="8" t="s">
        <v>1116</v>
      </c>
      <c r="C120" s="24" t="s">
        <v>13</v>
      </c>
      <c r="D120" s="8"/>
      <c r="E120" s="10" t="s">
        <v>1273</v>
      </c>
    </row>
    <row r="121" spans="1:5" ht="45" customHeight="1" x14ac:dyDescent="0.2">
      <c r="A121" s="8">
        <v>120</v>
      </c>
      <c r="B121" s="8" t="s">
        <v>1117</v>
      </c>
      <c r="C121" s="24" t="s">
        <v>13</v>
      </c>
      <c r="D121" s="8"/>
      <c r="E121" s="10" t="s">
        <v>1274</v>
      </c>
    </row>
    <row r="122" spans="1:5" ht="45" customHeight="1" x14ac:dyDescent="0.2">
      <c r="A122" s="8">
        <v>121</v>
      </c>
      <c r="B122" s="8" t="s">
        <v>1118</v>
      </c>
      <c r="C122" s="24" t="s">
        <v>13</v>
      </c>
      <c r="D122" s="8"/>
      <c r="E122" s="10" t="s">
        <v>1275</v>
      </c>
    </row>
    <row r="123" spans="1:5" ht="84" customHeight="1" x14ac:dyDescent="0.2">
      <c r="A123" s="8">
        <v>122</v>
      </c>
      <c r="B123" s="8" t="s">
        <v>1119</v>
      </c>
      <c r="C123" s="24" t="s">
        <v>13</v>
      </c>
      <c r="D123" s="8"/>
      <c r="E123" s="10" t="s">
        <v>1276</v>
      </c>
    </row>
    <row r="124" spans="1:5" ht="97.5" customHeight="1" x14ac:dyDescent="0.2">
      <c r="A124" s="8">
        <v>123</v>
      </c>
      <c r="B124" s="8" t="s">
        <v>1120</v>
      </c>
      <c r="C124" s="24" t="s">
        <v>13</v>
      </c>
      <c r="D124" s="8"/>
      <c r="E124" s="10" t="s">
        <v>1277</v>
      </c>
    </row>
    <row r="125" spans="1:5" ht="69.75" customHeight="1" x14ac:dyDescent="0.2">
      <c r="A125" s="8">
        <v>124</v>
      </c>
      <c r="B125" s="8" t="s">
        <v>1121</v>
      </c>
      <c r="C125" s="24" t="s">
        <v>13</v>
      </c>
      <c r="D125" s="8"/>
      <c r="E125" s="10" t="s">
        <v>1278</v>
      </c>
    </row>
    <row r="126" spans="1:5" ht="45" customHeight="1" x14ac:dyDescent="0.2">
      <c r="A126" s="8">
        <v>125</v>
      </c>
      <c r="B126" s="8" t="s">
        <v>1122</v>
      </c>
      <c r="C126" s="24" t="s">
        <v>13</v>
      </c>
      <c r="D126" s="8"/>
      <c r="E126" s="10" t="s">
        <v>1279</v>
      </c>
    </row>
    <row r="127" spans="1:5" ht="45" customHeight="1" x14ac:dyDescent="0.2">
      <c r="A127" s="8">
        <v>126</v>
      </c>
      <c r="B127" s="8" t="s">
        <v>1123</v>
      </c>
      <c r="C127" s="24" t="s">
        <v>13</v>
      </c>
      <c r="D127" s="8"/>
      <c r="E127" s="10" t="s">
        <v>1280</v>
      </c>
    </row>
    <row r="128" spans="1:5" ht="69.75" customHeight="1" x14ac:dyDescent="0.2">
      <c r="A128" s="8">
        <v>127</v>
      </c>
      <c r="B128" s="8" t="s">
        <v>1124</v>
      </c>
      <c r="C128" s="22" t="s">
        <v>10</v>
      </c>
      <c r="D128" s="8" t="s">
        <v>1125</v>
      </c>
      <c r="E128" s="10" t="s">
        <v>1281</v>
      </c>
    </row>
    <row r="129" spans="1:5" ht="55.5" customHeight="1" x14ac:dyDescent="0.2">
      <c r="A129" s="8">
        <v>128</v>
      </c>
      <c r="B129" s="8" t="s">
        <v>1126</v>
      </c>
      <c r="C129" s="22" t="s">
        <v>10</v>
      </c>
      <c r="D129" s="8" t="s">
        <v>1004</v>
      </c>
      <c r="E129" s="10" t="s">
        <v>1282</v>
      </c>
    </row>
    <row r="130" spans="1:5" ht="45" customHeight="1" x14ac:dyDescent="0.2">
      <c r="A130" s="8">
        <v>129</v>
      </c>
      <c r="B130" s="8" t="s">
        <v>1127</v>
      </c>
      <c r="C130" s="22" t="s">
        <v>10</v>
      </c>
      <c r="D130" s="8" t="s">
        <v>1030</v>
      </c>
      <c r="E130" s="10" t="s">
        <v>1283</v>
      </c>
    </row>
    <row r="131" spans="1:5" ht="55.5" customHeight="1" x14ac:dyDescent="0.2">
      <c r="A131" s="8">
        <v>130</v>
      </c>
      <c r="B131" s="8" t="s">
        <v>1128</v>
      </c>
      <c r="C131" s="22" t="s">
        <v>10</v>
      </c>
      <c r="D131" s="8" t="s">
        <v>1040</v>
      </c>
      <c r="E131" s="10" t="s">
        <v>1284</v>
      </c>
    </row>
    <row r="132" spans="1:5" ht="69.75" customHeight="1" x14ac:dyDescent="0.2">
      <c r="A132" s="8">
        <v>131</v>
      </c>
      <c r="B132" s="8" t="s">
        <v>1129</v>
      </c>
      <c r="C132" s="22" t="s">
        <v>10</v>
      </c>
      <c r="D132" s="8" t="s">
        <v>1004</v>
      </c>
      <c r="E132" s="10" t="s">
        <v>1285</v>
      </c>
    </row>
    <row r="133" spans="1:5" ht="55.5" customHeight="1" x14ac:dyDescent="0.2">
      <c r="A133" s="8">
        <v>132</v>
      </c>
      <c r="B133" s="8" t="s">
        <v>1130</v>
      </c>
      <c r="C133" s="22" t="s">
        <v>10</v>
      </c>
      <c r="D133" s="8" t="s">
        <v>1030</v>
      </c>
      <c r="E133" s="10" t="s">
        <v>1286</v>
      </c>
    </row>
    <row r="134" spans="1:5" ht="45" customHeight="1" x14ac:dyDescent="0.2">
      <c r="A134" s="8">
        <v>133</v>
      </c>
      <c r="B134" s="8" t="s">
        <v>1131</v>
      </c>
      <c r="C134" s="22" t="s">
        <v>10</v>
      </c>
      <c r="D134" s="8" t="s">
        <v>1030</v>
      </c>
      <c r="E134" s="10" t="s">
        <v>1287</v>
      </c>
    </row>
    <row r="135" spans="1:5" ht="45" customHeight="1" x14ac:dyDescent="0.2">
      <c r="A135" s="8">
        <v>134</v>
      </c>
      <c r="B135" s="8" t="s">
        <v>1132</v>
      </c>
      <c r="C135" s="23" t="s">
        <v>11</v>
      </c>
      <c r="D135" s="8" t="s">
        <v>1035</v>
      </c>
      <c r="E135" s="10" t="s">
        <v>1288</v>
      </c>
    </row>
    <row r="136" spans="1:5" ht="55.5" customHeight="1" x14ac:dyDescent="0.2">
      <c r="A136" s="8">
        <v>135</v>
      </c>
      <c r="B136" s="8" t="s">
        <v>1133</v>
      </c>
      <c r="C136" s="23" t="s">
        <v>11</v>
      </c>
      <c r="D136" s="8" t="s">
        <v>1005</v>
      </c>
      <c r="E136" s="10" t="s">
        <v>1289</v>
      </c>
    </row>
    <row r="137" spans="1:5" ht="45" customHeight="1" x14ac:dyDescent="0.2">
      <c r="A137" s="8">
        <v>136</v>
      </c>
      <c r="B137" s="8" t="s">
        <v>1134</v>
      </c>
      <c r="C137" s="23" t="s">
        <v>11</v>
      </c>
      <c r="D137" s="8" t="s">
        <v>1035</v>
      </c>
      <c r="E137" s="10" t="s">
        <v>1290</v>
      </c>
    </row>
    <row r="138" spans="1:5" ht="84" customHeight="1" x14ac:dyDescent="0.2">
      <c r="A138" s="8">
        <v>137</v>
      </c>
      <c r="B138" s="8" t="s">
        <v>1135</v>
      </c>
      <c r="C138" s="23" t="s">
        <v>11</v>
      </c>
      <c r="D138" s="8" t="s">
        <v>1015</v>
      </c>
      <c r="E138" s="10" t="s">
        <v>1291</v>
      </c>
    </row>
    <row r="139" spans="1:5" ht="45" customHeight="1" x14ac:dyDescent="0.2">
      <c r="A139" s="8">
        <v>138</v>
      </c>
      <c r="B139" s="8" t="s">
        <v>1136</v>
      </c>
      <c r="C139" s="23" t="s">
        <v>11</v>
      </c>
      <c r="D139" s="8" t="s">
        <v>1137</v>
      </c>
      <c r="E139" s="10" t="s">
        <v>1292</v>
      </c>
    </row>
    <row r="140" spans="1:5" ht="126" customHeight="1" x14ac:dyDescent="0.2">
      <c r="A140" s="8">
        <v>139</v>
      </c>
      <c r="B140" s="8" t="s">
        <v>1138</v>
      </c>
      <c r="C140" s="21" t="s">
        <v>12</v>
      </c>
      <c r="D140" s="8" t="s">
        <v>1101</v>
      </c>
      <c r="E140" s="10" t="s">
        <v>1293</v>
      </c>
    </row>
    <row r="141" spans="1:5" ht="153.75" customHeight="1" x14ac:dyDescent="0.2">
      <c r="A141" s="8">
        <v>140</v>
      </c>
      <c r="B141" s="8" t="s">
        <v>1139</v>
      </c>
      <c r="C141" s="21" t="s">
        <v>12</v>
      </c>
      <c r="D141" s="8" t="s">
        <v>1101</v>
      </c>
      <c r="E141" s="10" t="s">
        <v>1294</v>
      </c>
    </row>
    <row r="142" spans="1:5" ht="168" customHeight="1" x14ac:dyDescent="0.2">
      <c r="A142" s="8">
        <v>141</v>
      </c>
      <c r="B142" s="8" t="s">
        <v>1140</v>
      </c>
      <c r="C142" s="21" t="s">
        <v>12</v>
      </c>
      <c r="D142" s="8" t="s">
        <v>1053</v>
      </c>
      <c r="E142" s="10" t="s">
        <v>1295</v>
      </c>
    </row>
    <row r="143" spans="1:5" ht="195.75" customHeight="1" x14ac:dyDescent="0.2">
      <c r="A143" s="8">
        <v>142</v>
      </c>
      <c r="B143" s="8" t="s">
        <v>1141</v>
      </c>
      <c r="C143" s="21" t="s">
        <v>12</v>
      </c>
      <c r="D143" s="8" t="s">
        <v>1053</v>
      </c>
      <c r="E143" s="10" t="s">
        <v>1296</v>
      </c>
    </row>
    <row r="144" spans="1:5" ht="153.75" customHeight="1" x14ac:dyDescent="0.2">
      <c r="A144" s="8">
        <v>143</v>
      </c>
      <c r="B144" s="8" t="s">
        <v>1142</v>
      </c>
      <c r="C144" s="21" t="s">
        <v>12</v>
      </c>
      <c r="D144" s="8" t="s">
        <v>1053</v>
      </c>
      <c r="E144" s="10" t="s">
        <v>1297</v>
      </c>
    </row>
    <row r="145" spans="1:5" ht="153.75" customHeight="1" x14ac:dyDescent="0.2">
      <c r="A145" s="8">
        <v>144</v>
      </c>
      <c r="B145" s="8" t="s">
        <v>1143</v>
      </c>
      <c r="C145" s="21" t="s">
        <v>12</v>
      </c>
      <c r="D145" s="8" t="s">
        <v>1053</v>
      </c>
      <c r="E145" s="10" t="s">
        <v>1298</v>
      </c>
    </row>
    <row r="146" spans="1:5" ht="126" customHeight="1" x14ac:dyDescent="0.2">
      <c r="A146" s="8">
        <v>145</v>
      </c>
      <c r="B146" s="8" t="s">
        <v>1144</v>
      </c>
      <c r="C146" s="21" t="s">
        <v>12</v>
      </c>
      <c r="D146" s="8" t="s">
        <v>1101</v>
      </c>
      <c r="E146" s="10" t="s">
        <v>1299</v>
      </c>
    </row>
    <row r="147" spans="1:5" ht="55.5" customHeight="1" x14ac:dyDescent="0.2">
      <c r="A147" s="8">
        <v>146</v>
      </c>
      <c r="B147" s="8" t="s">
        <v>1145</v>
      </c>
      <c r="C147" s="21" t="s">
        <v>12</v>
      </c>
      <c r="D147" s="8" t="s">
        <v>1053</v>
      </c>
      <c r="E147" s="10" t="s">
        <v>1300</v>
      </c>
    </row>
    <row r="148" spans="1:5" ht="168" customHeight="1" x14ac:dyDescent="0.2">
      <c r="A148" s="8">
        <v>147</v>
      </c>
      <c r="B148" s="8" t="s">
        <v>1146</v>
      </c>
      <c r="C148" s="21" t="s">
        <v>12</v>
      </c>
      <c r="D148" s="8" t="s">
        <v>1065</v>
      </c>
      <c r="E148" s="10" t="s">
        <v>1301</v>
      </c>
    </row>
    <row r="149" spans="1:5" ht="84" customHeight="1" x14ac:dyDescent="0.2">
      <c r="A149" s="8">
        <v>148</v>
      </c>
      <c r="B149" s="8" t="s">
        <v>1147</v>
      </c>
      <c r="C149" s="21" t="s">
        <v>12</v>
      </c>
      <c r="D149" s="8" t="s">
        <v>1063</v>
      </c>
      <c r="E149" s="10" t="s">
        <v>1302</v>
      </c>
    </row>
    <row r="150" spans="1:5" ht="153.75" customHeight="1" x14ac:dyDescent="0.2">
      <c r="A150" s="8">
        <v>149</v>
      </c>
      <c r="B150" s="8" t="s">
        <v>1148</v>
      </c>
      <c r="C150" s="21" t="s">
        <v>12</v>
      </c>
      <c r="D150" s="8" t="s">
        <v>1063</v>
      </c>
      <c r="E150" s="10" t="s">
        <v>1303</v>
      </c>
    </row>
    <row r="151" spans="1:5" ht="153.75" customHeight="1" x14ac:dyDescent="0.2">
      <c r="A151" s="8">
        <v>150</v>
      </c>
      <c r="B151" s="8" t="s">
        <v>1149</v>
      </c>
      <c r="C151" s="21" t="s">
        <v>12</v>
      </c>
      <c r="D151" s="8" t="s">
        <v>1063</v>
      </c>
      <c r="E151" s="10" t="s">
        <v>1304</v>
      </c>
    </row>
    <row r="152" spans="1:5" ht="69.75" customHeight="1" x14ac:dyDescent="0.2">
      <c r="A152" s="8">
        <v>151</v>
      </c>
      <c r="B152" s="8" t="s">
        <v>1150</v>
      </c>
      <c r="C152" s="21" t="s">
        <v>12</v>
      </c>
      <c r="D152" s="8" t="s">
        <v>1063</v>
      </c>
      <c r="E152" s="10" t="s">
        <v>1305</v>
      </c>
    </row>
    <row r="153" spans="1:5" ht="126" customHeight="1" x14ac:dyDescent="0.2">
      <c r="A153" s="8">
        <v>152</v>
      </c>
      <c r="B153" s="8" t="s">
        <v>1151</v>
      </c>
      <c r="C153" s="21" t="s">
        <v>12</v>
      </c>
      <c r="D153" s="8" t="s">
        <v>1060</v>
      </c>
      <c r="E153" s="10" t="s">
        <v>1306</v>
      </c>
    </row>
    <row r="154" spans="1:5" ht="111.75" customHeight="1" x14ac:dyDescent="0.2">
      <c r="A154" s="8">
        <v>153</v>
      </c>
      <c r="B154" s="8" t="s">
        <v>1152</v>
      </c>
      <c r="C154" s="21" t="s">
        <v>12</v>
      </c>
      <c r="D154" s="8" t="s">
        <v>1060</v>
      </c>
      <c r="E154" s="10" t="s">
        <v>1307</v>
      </c>
    </row>
    <row r="155" spans="1:5" ht="139.5" customHeight="1" x14ac:dyDescent="0.2">
      <c r="A155" s="8">
        <v>154</v>
      </c>
      <c r="B155" s="8" t="s">
        <v>1153</v>
      </c>
      <c r="C155" s="21" t="s">
        <v>12</v>
      </c>
      <c r="D155" s="8" t="s">
        <v>1154</v>
      </c>
      <c r="E155" s="10" t="s">
        <v>1308</v>
      </c>
    </row>
    <row r="156" spans="1:5" ht="223.5" customHeight="1" x14ac:dyDescent="0.2">
      <c r="A156" s="8">
        <v>155</v>
      </c>
      <c r="B156" s="8" t="s">
        <v>1155</v>
      </c>
      <c r="C156" s="21" t="s">
        <v>12</v>
      </c>
      <c r="D156" s="8" t="s">
        <v>1154</v>
      </c>
      <c r="E156" s="10" t="s">
        <v>1309</v>
      </c>
    </row>
    <row r="157" spans="1:5" ht="195.75" customHeight="1" x14ac:dyDescent="0.2">
      <c r="A157" s="8">
        <v>156</v>
      </c>
      <c r="B157" s="8" t="s">
        <v>1156</v>
      </c>
      <c r="C157" s="21" t="s">
        <v>12</v>
      </c>
      <c r="D157" s="8" t="s">
        <v>1157</v>
      </c>
      <c r="E157" s="10" t="s">
        <v>1310</v>
      </c>
    </row>
    <row r="158" spans="1:5" ht="279.75" customHeight="1" x14ac:dyDescent="0.2">
      <c r="A158" s="8">
        <v>157</v>
      </c>
      <c r="B158" s="8" t="s">
        <v>1158</v>
      </c>
      <c r="C158" s="21" t="s">
        <v>12</v>
      </c>
      <c r="D158" s="8" t="s">
        <v>1154</v>
      </c>
      <c r="E158" s="10" t="s">
        <v>1311</v>
      </c>
    </row>
    <row r="159" spans="1:5" ht="126" customHeight="1" x14ac:dyDescent="0.2">
      <c r="A159" s="8">
        <v>158</v>
      </c>
      <c r="B159" s="8" t="s">
        <v>1159</v>
      </c>
      <c r="C159" s="21" t="s">
        <v>12</v>
      </c>
      <c r="D159" s="8" t="s">
        <v>1053</v>
      </c>
      <c r="E159" s="10" t="s">
        <v>1312</v>
      </c>
    </row>
    <row r="160" spans="1:5" ht="126" customHeight="1" x14ac:dyDescent="0.2">
      <c r="A160" s="8">
        <v>159</v>
      </c>
      <c r="B160" s="8" t="s">
        <v>1160</v>
      </c>
      <c r="C160" s="21" t="s">
        <v>12</v>
      </c>
      <c r="D160" s="8" t="s">
        <v>1053</v>
      </c>
      <c r="E160" s="10" t="s">
        <v>1313</v>
      </c>
    </row>
    <row r="161" spans="1:5" ht="210" customHeight="1" x14ac:dyDescent="0.2">
      <c r="A161" s="8">
        <v>160</v>
      </c>
      <c r="B161" s="8" t="s">
        <v>1161</v>
      </c>
      <c r="C161" s="21" t="s">
        <v>12</v>
      </c>
      <c r="D161" s="8" t="s">
        <v>1101</v>
      </c>
      <c r="E161" s="10" t="s">
        <v>1314</v>
      </c>
    </row>
    <row r="162" spans="1:5" ht="139.5" customHeight="1" x14ac:dyDescent="0.2">
      <c r="A162" s="8">
        <v>161</v>
      </c>
      <c r="B162" s="8" t="s">
        <v>1162</v>
      </c>
      <c r="C162" s="21" t="s">
        <v>12</v>
      </c>
      <c r="D162" s="8" t="s">
        <v>1053</v>
      </c>
      <c r="E162" s="10" t="s">
        <v>1315</v>
      </c>
    </row>
    <row r="163" spans="1:5" ht="97.5" customHeight="1" x14ac:dyDescent="0.2">
      <c r="A163" s="8">
        <v>162</v>
      </c>
      <c r="B163" s="8" t="s">
        <v>1163</v>
      </c>
      <c r="C163" s="21" t="s">
        <v>12</v>
      </c>
      <c r="D163" s="8" t="s">
        <v>1164</v>
      </c>
      <c r="E163" s="10" t="s">
        <v>1316</v>
      </c>
    </row>
    <row r="164" spans="1:5" ht="84" customHeight="1" x14ac:dyDescent="0.2">
      <c r="A164" s="8">
        <v>163</v>
      </c>
      <c r="B164" s="8" t="s">
        <v>1165</v>
      </c>
      <c r="C164" s="21" t="s">
        <v>12</v>
      </c>
      <c r="D164" s="8" t="s">
        <v>1055</v>
      </c>
      <c r="E164" s="10" t="s">
        <v>1317</v>
      </c>
    </row>
    <row r="165" spans="1:5" ht="97.5" customHeight="1" x14ac:dyDescent="0.2">
      <c r="A165" s="8">
        <v>164</v>
      </c>
      <c r="B165" s="8" t="s">
        <v>1166</v>
      </c>
      <c r="C165" s="21" t="s">
        <v>12</v>
      </c>
      <c r="D165" s="8" t="s">
        <v>1055</v>
      </c>
      <c r="E165" s="10" t="s">
        <v>1318</v>
      </c>
    </row>
    <row r="166" spans="1:5" ht="139.5" customHeight="1" x14ac:dyDescent="0.2">
      <c r="A166" s="8">
        <v>165</v>
      </c>
      <c r="B166" s="8" t="s">
        <v>1167</v>
      </c>
      <c r="C166" s="21" t="s">
        <v>12</v>
      </c>
      <c r="D166" s="8" t="s">
        <v>1055</v>
      </c>
      <c r="E166" s="10" t="s">
        <v>1319</v>
      </c>
    </row>
    <row r="167" spans="1:5" ht="139.5" customHeight="1" x14ac:dyDescent="0.2">
      <c r="A167" s="8">
        <v>166</v>
      </c>
      <c r="B167" s="8" t="s">
        <v>1168</v>
      </c>
      <c r="C167" s="21" t="s">
        <v>12</v>
      </c>
      <c r="D167" s="8" t="s">
        <v>1055</v>
      </c>
      <c r="E167" s="10" t="s">
        <v>1320</v>
      </c>
    </row>
    <row r="168" spans="1:5" ht="126" customHeight="1" x14ac:dyDescent="0.2">
      <c r="A168" s="8">
        <v>167</v>
      </c>
      <c r="B168" s="8" t="s">
        <v>1169</v>
      </c>
      <c r="C168" s="21" t="s">
        <v>12</v>
      </c>
      <c r="D168" s="8" t="s">
        <v>1055</v>
      </c>
      <c r="E168" s="10" t="s">
        <v>1321</v>
      </c>
    </row>
  </sheetData>
  <autoFilter ref="A1:E168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>
      <pane ySplit="1" topLeftCell="A2" activePane="bottomLeft" state="frozen"/>
      <selection pane="bottomLeft" activeCell="H23" sqref="H23"/>
    </sheetView>
  </sheetViews>
  <sheetFormatPr baseColWidth="10" defaultColWidth="8.6640625" defaultRowHeight="15" x14ac:dyDescent="0.2"/>
  <cols>
    <col min="1" max="1" width="5" customWidth="1"/>
    <col min="2" max="2" width="50" customWidth="1"/>
    <col min="3" max="3" width="14" customWidth="1"/>
    <col min="4" max="4" width="11" customWidth="1"/>
  </cols>
  <sheetData>
    <row r="1" spans="1:4" x14ac:dyDescent="0.2">
      <c r="A1" s="3" t="s">
        <v>20</v>
      </c>
      <c r="B1" s="3" t="s">
        <v>21</v>
      </c>
      <c r="C1" s="3" t="s">
        <v>22</v>
      </c>
      <c r="D1" s="3" t="s">
        <v>24</v>
      </c>
    </row>
    <row r="2" spans="1:4" x14ac:dyDescent="0.2">
      <c r="A2" s="4">
        <v>1</v>
      </c>
      <c r="B2" s="18" t="s">
        <v>1115</v>
      </c>
      <c r="C2" s="4" t="s">
        <v>184</v>
      </c>
      <c r="D2" s="6" t="s">
        <v>4</v>
      </c>
    </row>
    <row r="3" spans="1:4" x14ac:dyDescent="0.2">
      <c r="A3" s="4">
        <v>2</v>
      </c>
      <c r="B3" s="18" t="s">
        <v>1109</v>
      </c>
      <c r="C3" s="4" t="s">
        <v>1322</v>
      </c>
      <c r="D3" s="5" t="s">
        <v>3</v>
      </c>
    </row>
    <row r="4" spans="1:4" x14ac:dyDescent="0.2">
      <c r="A4" s="4">
        <v>3</v>
      </c>
      <c r="B4" s="18" t="s">
        <v>1323</v>
      </c>
      <c r="C4" s="4" t="s">
        <v>165</v>
      </c>
      <c r="D4" s="5" t="s">
        <v>3</v>
      </c>
    </row>
    <row r="5" spans="1:4" x14ac:dyDescent="0.2">
      <c r="A5" s="4">
        <v>4</v>
      </c>
      <c r="B5" s="18" t="s">
        <v>1116</v>
      </c>
      <c r="C5" s="4" t="s">
        <v>102</v>
      </c>
      <c r="D5" s="6" t="s">
        <v>4</v>
      </c>
    </row>
    <row r="6" spans="1:4" x14ac:dyDescent="0.2">
      <c r="A6" s="4">
        <v>5</v>
      </c>
      <c r="B6" s="18" t="s">
        <v>1324</v>
      </c>
      <c r="C6" s="4" t="s">
        <v>156</v>
      </c>
      <c r="D6" s="5" t="s">
        <v>3</v>
      </c>
    </row>
    <row r="7" spans="1:4" x14ac:dyDescent="0.2">
      <c r="A7" s="4">
        <v>6</v>
      </c>
      <c r="B7" s="18" t="s">
        <v>1117</v>
      </c>
      <c r="C7" s="4" t="s">
        <v>156</v>
      </c>
      <c r="D7" s="6" t="s">
        <v>4</v>
      </c>
    </row>
    <row r="8" spans="1:4" x14ac:dyDescent="0.2">
      <c r="A8" s="4">
        <v>7</v>
      </c>
      <c r="B8" s="18" t="s">
        <v>1118</v>
      </c>
      <c r="C8" s="4" t="s">
        <v>415</v>
      </c>
      <c r="D8" s="6" t="s">
        <v>4</v>
      </c>
    </row>
    <row r="9" spans="1:4" x14ac:dyDescent="0.2">
      <c r="A9" s="4">
        <v>8</v>
      </c>
      <c r="B9" s="18" t="s">
        <v>1325</v>
      </c>
      <c r="C9" s="4" t="s">
        <v>165</v>
      </c>
      <c r="D9" s="5" t="s">
        <v>3</v>
      </c>
    </row>
    <row r="10" spans="1:4" x14ac:dyDescent="0.2">
      <c r="A10" s="4">
        <v>9</v>
      </c>
      <c r="B10" s="18" t="s">
        <v>1110</v>
      </c>
      <c r="C10" s="4" t="s">
        <v>332</v>
      </c>
      <c r="D10" s="5" t="s">
        <v>3</v>
      </c>
    </row>
    <row r="11" spans="1:4" x14ac:dyDescent="0.2">
      <c r="A11" s="4">
        <v>10</v>
      </c>
      <c r="B11" s="18" t="s">
        <v>1119</v>
      </c>
      <c r="C11" s="4" t="s">
        <v>95</v>
      </c>
      <c r="D11" s="6" t="s">
        <v>4</v>
      </c>
    </row>
    <row r="12" spans="1:4" x14ac:dyDescent="0.2">
      <c r="A12" s="4">
        <v>11</v>
      </c>
      <c r="B12" s="18" t="s">
        <v>1111</v>
      </c>
      <c r="C12" s="4" t="s">
        <v>92</v>
      </c>
      <c r="D12" s="5" t="s">
        <v>3</v>
      </c>
    </row>
    <row r="13" spans="1:4" x14ac:dyDescent="0.2">
      <c r="A13" s="4">
        <v>12</v>
      </c>
      <c r="B13" s="18" t="s">
        <v>1326</v>
      </c>
      <c r="C13" s="4" t="s">
        <v>110</v>
      </c>
      <c r="D13" s="5" t="s">
        <v>3</v>
      </c>
    </row>
  </sheetData>
  <autoFilter ref="A1:D1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42" customWidth="1"/>
    <col min="3" max="3" width="14" customWidth="1"/>
    <col min="4" max="4" width="11" customWidth="1"/>
    <col min="5" max="5" width="95" customWidth="1"/>
  </cols>
  <sheetData>
    <row r="1" spans="1:5" x14ac:dyDescent="0.2">
      <c r="A1" s="3" t="s">
        <v>20</v>
      </c>
      <c r="B1" s="3" t="s">
        <v>21</v>
      </c>
      <c r="C1" s="3" t="s">
        <v>22</v>
      </c>
      <c r="D1" s="3" t="s">
        <v>24</v>
      </c>
      <c r="E1" s="3" t="s">
        <v>1170</v>
      </c>
    </row>
    <row r="2" spans="1:5" ht="195" customHeight="1" x14ac:dyDescent="0.2">
      <c r="A2" s="8">
        <v>1</v>
      </c>
      <c r="B2" s="8" t="s">
        <v>1115</v>
      </c>
      <c r="C2" s="8" t="s">
        <v>184</v>
      </c>
      <c r="D2" s="11" t="s">
        <v>4</v>
      </c>
      <c r="E2" s="10" t="s">
        <v>1327</v>
      </c>
    </row>
    <row r="3" spans="1:5" ht="165" customHeight="1" x14ac:dyDescent="0.2">
      <c r="A3" s="8">
        <v>2</v>
      </c>
      <c r="B3" s="8" t="s">
        <v>1109</v>
      </c>
      <c r="C3" s="8" t="s">
        <v>1322</v>
      </c>
      <c r="D3" s="9" t="s">
        <v>3</v>
      </c>
      <c r="E3" s="10" t="s">
        <v>1328</v>
      </c>
    </row>
    <row r="4" spans="1:5" ht="210" customHeight="1" x14ac:dyDescent="0.2">
      <c r="A4" s="8">
        <v>3</v>
      </c>
      <c r="B4" s="8" t="s">
        <v>1323</v>
      </c>
      <c r="C4" s="8" t="s">
        <v>165</v>
      </c>
      <c r="D4" s="9" t="s">
        <v>3</v>
      </c>
      <c r="E4" s="10" t="s">
        <v>1329</v>
      </c>
    </row>
    <row r="5" spans="1:5" ht="210" customHeight="1" x14ac:dyDescent="0.2">
      <c r="A5" s="8">
        <v>4</v>
      </c>
      <c r="B5" s="8" t="s">
        <v>1116</v>
      </c>
      <c r="C5" s="8" t="s">
        <v>102</v>
      </c>
      <c r="D5" s="11" t="s">
        <v>4</v>
      </c>
      <c r="E5" s="10" t="s">
        <v>1330</v>
      </c>
    </row>
    <row r="6" spans="1:5" ht="210" customHeight="1" x14ac:dyDescent="0.2">
      <c r="A6" s="8">
        <v>5</v>
      </c>
      <c r="B6" s="8" t="s">
        <v>1324</v>
      </c>
      <c r="C6" s="8" t="s">
        <v>156</v>
      </c>
      <c r="D6" s="9" t="s">
        <v>3</v>
      </c>
      <c r="E6" s="10" t="s">
        <v>1331</v>
      </c>
    </row>
    <row r="7" spans="1:5" ht="180" customHeight="1" x14ac:dyDescent="0.2">
      <c r="A7" s="8">
        <v>6</v>
      </c>
      <c r="B7" s="8" t="s">
        <v>1117</v>
      </c>
      <c r="C7" s="8" t="s">
        <v>156</v>
      </c>
      <c r="D7" s="11" t="s">
        <v>4</v>
      </c>
      <c r="E7" s="10" t="s">
        <v>1332</v>
      </c>
    </row>
    <row r="8" spans="1:5" ht="195" customHeight="1" x14ac:dyDescent="0.2">
      <c r="A8" s="8">
        <v>7</v>
      </c>
      <c r="B8" s="8" t="s">
        <v>1118</v>
      </c>
      <c r="C8" s="8" t="s">
        <v>415</v>
      </c>
      <c r="D8" s="11" t="s">
        <v>4</v>
      </c>
      <c r="E8" s="10" t="s">
        <v>1333</v>
      </c>
    </row>
    <row r="9" spans="1:5" ht="240" customHeight="1" x14ac:dyDescent="0.2">
      <c r="A9" s="8">
        <v>8</v>
      </c>
      <c r="B9" s="8" t="s">
        <v>1325</v>
      </c>
      <c r="C9" s="8" t="s">
        <v>165</v>
      </c>
      <c r="D9" s="9" t="s">
        <v>3</v>
      </c>
      <c r="E9" s="10" t="s">
        <v>1334</v>
      </c>
    </row>
    <row r="10" spans="1:5" ht="225" customHeight="1" x14ac:dyDescent="0.2">
      <c r="A10" s="8">
        <v>9</v>
      </c>
      <c r="B10" s="8" t="s">
        <v>1110</v>
      </c>
      <c r="C10" s="8" t="s">
        <v>332</v>
      </c>
      <c r="D10" s="9" t="s">
        <v>3</v>
      </c>
      <c r="E10" s="10" t="s">
        <v>1335</v>
      </c>
    </row>
    <row r="11" spans="1:5" ht="240" customHeight="1" x14ac:dyDescent="0.2">
      <c r="A11" s="8">
        <v>10</v>
      </c>
      <c r="B11" s="8" t="s">
        <v>1119</v>
      </c>
      <c r="C11" s="8" t="s">
        <v>95</v>
      </c>
      <c r="D11" s="11" t="s">
        <v>4</v>
      </c>
      <c r="E11" s="10" t="s">
        <v>1336</v>
      </c>
    </row>
    <row r="12" spans="1:5" ht="255" customHeight="1" x14ac:dyDescent="0.2">
      <c r="A12" s="8">
        <v>11</v>
      </c>
      <c r="B12" s="8" t="s">
        <v>1111</v>
      </c>
      <c r="C12" s="8" t="s">
        <v>92</v>
      </c>
      <c r="D12" s="9" t="s">
        <v>3</v>
      </c>
      <c r="E12" s="10" t="s">
        <v>1337</v>
      </c>
    </row>
    <row r="13" spans="1:5" ht="210" customHeight="1" x14ac:dyDescent="0.2">
      <c r="A13" s="8">
        <v>12</v>
      </c>
      <c r="B13" s="8" t="s">
        <v>1326</v>
      </c>
      <c r="C13" s="8" t="s">
        <v>110</v>
      </c>
      <c r="D13" s="9" t="s">
        <v>3</v>
      </c>
      <c r="E13" s="10" t="s">
        <v>1338</v>
      </c>
    </row>
  </sheetData>
  <autoFilter ref="A1:E1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2"/>
  <sheetViews>
    <sheetView zoomScaleNormal="100" workbookViewId="0">
      <pane ySplit="1" topLeftCell="A2" activePane="bottomLeft" state="frozen"/>
      <selection pane="bottomLeft" activeCell="F1" sqref="F1:G1048576"/>
    </sheetView>
  </sheetViews>
  <sheetFormatPr baseColWidth="10" defaultColWidth="8.6640625" defaultRowHeight="15" x14ac:dyDescent="0.2"/>
  <cols>
    <col min="1" max="1" width="5" customWidth="1"/>
    <col min="2" max="2" width="50" customWidth="1"/>
    <col min="3" max="3" width="14" customWidth="1"/>
    <col min="4" max="4" width="22" customWidth="1"/>
    <col min="5" max="5" width="11" customWidth="1"/>
  </cols>
  <sheetData>
    <row r="1" spans="1:5" x14ac:dyDescent="0.2">
      <c r="A1" s="3" t="s">
        <v>20</v>
      </c>
      <c r="B1" s="3" t="s">
        <v>21</v>
      </c>
      <c r="C1" s="3" t="s">
        <v>22</v>
      </c>
      <c r="D1" s="3" t="s">
        <v>1000</v>
      </c>
      <c r="E1" s="3" t="s">
        <v>24</v>
      </c>
    </row>
    <row r="2" spans="1:5" x14ac:dyDescent="0.2">
      <c r="A2" s="4">
        <v>1</v>
      </c>
      <c r="B2" s="16" t="s">
        <v>1010</v>
      </c>
      <c r="C2" s="4" t="s">
        <v>29</v>
      </c>
      <c r="D2" s="4" t="s">
        <v>1011</v>
      </c>
      <c r="E2" s="5" t="s">
        <v>3</v>
      </c>
    </row>
    <row r="3" spans="1:5" x14ac:dyDescent="0.2">
      <c r="A3" s="4">
        <v>2</v>
      </c>
      <c r="B3" s="16" t="s">
        <v>1019</v>
      </c>
      <c r="C3" s="4" t="s">
        <v>327</v>
      </c>
      <c r="D3" s="4" t="s">
        <v>1005</v>
      </c>
      <c r="E3" s="6" t="s">
        <v>4</v>
      </c>
    </row>
    <row r="4" spans="1:5" x14ac:dyDescent="0.2">
      <c r="A4" s="4">
        <v>3</v>
      </c>
      <c r="B4" s="16" t="s">
        <v>1339</v>
      </c>
      <c r="C4" s="4" t="s">
        <v>51</v>
      </c>
      <c r="D4" s="4" t="s">
        <v>1005</v>
      </c>
      <c r="E4" s="7" t="s">
        <v>5</v>
      </c>
    </row>
    <row r="5" spans="1:5" x14ac:dyDescent="0.2">
      <c r="A5" s="4">
        <v>4</v>
      </c>
      <c r="B5" s="16" t="s">
        <v>1020</v>
      </c>
      <c r="C5" s="4" t="s">
        <v>90</v>
      </c>
      <c r="D5" s="4" t="s">
        <v>1021</v>
      </c>
      <c r="E5" s="6" t="s">
        <v>4</v>
      </c>
    </row>
    <row r="6" spans="1:5" x14ac:dyDescent="0.2">
      <c r="A6" s="4">
        <v>5</v>
      </c>
      <c r="B6" s="16" t="s">
        <v>1340</v>
      </c>
      <c r="C6" s="4" t="s">
        <v>87</v>
      </c>
      <c r="D6" s="4" t="s">
        <v>1005</v>
      </c>
      <c r="E6" s="5" t="s">
        <v>3</v>
      </c>
    </row>
    <row r="7" spans="1:5" x14ac:dyDescent="0.2">
      <c r="A7" s="4">
        <v>6</v>
      </c>
      <c r="B7" s="16" t="s">
        <v>1012</v>
      </c>
      <c r="C7" s="4" t="s">
        <v>191</v>
      </c>
      <c r="D7" s="4" t="s">
        <v>1013</v>
      </c>
      <c r="E7" s="5" t="s">
        <v>3</v>
      </c>
    </row>
    <row r="8" spans="1:5" x14ac:dyDescent="0.2">
      <c r="A8" s="4">
        <v>7</v>
      </c>
      <c r="B8" s="16" t="s">
        <v>1029</v>
      </c>
      <c r="C8" s="4" t="s">
        <v>131</v>
      </c>
      <c r="D8" s="4" t="s">
        <v>1049</v>
      </c>
      <c r="E8" s="7" t="s">
        <v>5</v>
      </c>
    </row>
    <row r="9" spans="1:5" x14ac:dyDescent="0.2">
      <c r="A9" s="4">
        <v>8</v>
      </c>
      <c r="B9" s="16" t="s">
        <v>1341</v>
      </c>
      <c r="C9" s="4" t="s">
        <v>58</v>
      </c>
      <c r="D9" s="4" t="s">
        <v>1004</v>
      </c>
      <c r="E9" s="5" t="s">
        <v>3</v>
      </c>
    </row>
    <row r="10" spans="1:5" x14ac:dyDescent="0.2">
      <c r="A10" s="4">
        <v>9</v>
      </c>
      <c r="B10" s="16" t="s">
        <v>1127</v>
      </c>
      <c r="C10" s="4" t="s">
        <v>68</v>
      </c>
      <c r="D10" s="4" t="s">
        <v>1049</v>
      </c>
      <c r="E10" s="6" t="s">
        <v>4</v>
      </c>
    </row>
    <row r="11" spans="1:5" x14ac:dyDescent="0.2">
      <c r="A11" s="4">
        <v>10</v>
      </c>
      <c r="B11" s="16" t="s">
        <v>1022</v>
      </c>
      <c r="C11" s="4" t="s">
        <v>191</v>
      </c>
      <c r="D11" s="4" t="s">
        <v>1004</v>
      </c>
      <c r="E11" s="6" t="s">
        <v>4</v>
      </c>
    </row>
    <row r="12" spans="1:5" x14ac:dyDescent="0.2">
      <c r="A12" s="4">
        <v>11</v>
      </c>
      <c r="B12" s="16" t="s">
        <v>1014</v>
      </c>
      <c r="C12" s="4" t="s">
        <v>226</v>
      </c>
      <c r="D12" s="4" t="s">
        <v>1015</v>
      </c>
      <c r="E12" s="5" t="s">
        <v>3</v>
      </c>
    </row>
    <row r="13" spans="1:5" x14ac:dyDescent="0.2">
      <c r="A13" s="4">
        <v>12</v>
      </c>
      <c r="B13" s="16" t="s">
        <v>1124</v>
      </c>
      <c r="C13" s="4" t="s">
        <v>148</v>
      </c>
      <c r="D13" s="4" t="s">
        <v>1125</v>
      </c>
      <c r="E13" s="5" t="s">
        <v>3</v>
      </c>
    </row>
    <row r="14" spans="1:5" x14ac:dyDescent="0.2">
      <c r="A14" s="4">
        <v>13</v>
      </c>
      <c r="B14" s="16" t="s">
        <v>1130</v>
      </c>
      <c r="C14" s="4" t="s">
        <v>267</v>
      </c>
      <c r="D14" s="4" t="s">
        <v>1049</v>
      </c>
      <c r="E14" s="6" t="s">
        <v>4</v>
      </c>
    </row>
    <row r="15" spans="1:5" x14ac:dyDescent="0.2">
      <c r="A15" s="4">
        <v>14</v>
      </c>
      <c r="B15" s="16" t="s">
        <v>1342</v>
      </c>
      <c r="C15" s="4" t="s">
        <v>271</v>
      </c>
      <c r="D15" s="4" t="s">
        <v>1343</v>
      </c>
      <c r="E15" s="7" t="s">
        <v>5</v>
      </c>
    </row>
    <row r="16" spans="1:5" x14ac:dyDescent="0.2">
      <c r="A16" s="4">
        <v>15</v>
      </c>
      <c r="B16" s="16" t="s">
        <v>1031</v>
      </c>
      <c r="C16" s="4" t="s">
        <v>118</v>
      </c>
      <c r="D16" s="4" t="s">
        <v>1049</v>
      </c>
      <c r="E16" s="7" t="s">
        <v>5</v>
      </c>
    </row>
    <row r="17" spans="1:5" x14ac:dyDescent="0.2">
      <c r="A17" s="4">
        <v>16</v>
      </c>
      <c r="B17" s="16" t="s">
        <v>1344</v>
      </c>
      <c r="C17" s="4" t="s">
        <v>368</v>
      </c>
      <c r="D17" s="4" t="s">
        <v>1345</v>
      </c>
      <c r="E17" s="5" t="s">
        <v>3</v>
      </c>
    </row>
    <row r="18" spans="1:5" x14ac:dyDescent="0.2">
      <c r="A18" s="4">
        <v>17</v>
      </c>
      <c r="B18" s="16" t="s">
        <v>1346</v>
      </c>
      <c r="C18" s="4" t="s">
        <v>58</v>
      </c>
      <c r="D18" s="4" t="s">
        <v>1033</v>
      </c>
      <c r="E18" s="5" t="s">
        <v>3</v>
      </c>
    </row>
    <row r="19" spans="1:5" x14ac:dyDescent="0.2">
      <c r="A19" s="4">
        <v>18</v>
      </c>
      <c r="B19" s="16" t="s">
        <v>1023</v>
      </c>
      <c r="C19" s="4" t="s">
        <v>197</v>
      </c>
      <c r="D19" s="4" t="s">
        <v>1024</v>
      </c>
      <c r="E19" s="6" t="s">
        <v>4</v>
      </c>
    </row>
    <row r="20" spans="1:5" x14ac:dyDescent="0.2">
      <c r="A20" s="4">
        <v>19</v>
      </c>
      <c r="B20" s="16" t="s">
        <v>1347</v>
      </c>
      <c r="C20" s="4" t="s">
        <v>405</v>
      </c>
      <c r="D20" s="4" t="s">
        <v>1005</v>
      </c>
      <c r="E20" s="6" t="s">
        <v>4</v>
      </c>
    </row>
    <row r="21" spans="1:5" x14ac:dyDescent="0.2">
      <c r="A21" s="4">
        <v>20</v>
      </c>
      <c r="B21" s="16" t="s">
        <v>1348</v>
      </c>
      <c r="C21" s="4" t="s">
        <v>187</v>
      </c>
      <c r="D21" s="4" t="s">
        <v>1004</v>
      </c>
      <c r="E21" s="7" t="s">
        <v>5</v>
      </c>
    </row>
    <row r="22" spans="1:5" x14ac:dyDescent="0.2">
      <c r="A22" s="4">
        <v>21</v>
      </c>
      <c r="B22" s="16" t="s">
        <v>1131</v>
      </c>
      <c r="C22" s="4" t="s">
        <v>112</v>
      </c>
      <c r="D22" s="4" t="s">
        <v>1049</v>
      </c>
      <c r="E22" s="7" t="s">
        <v>5</v>
      </c>
    </row>
    <row r="23" spans="1:5" x14ac:dyDescent="0.2">
      <c r="A23" s="4">
        <v>22</v>
      </c>
      <c r="B23" s="16" t="s">
        <v>1349</v>
      </c>
      <c r="C23" s="4" t="s">
        <v>368</v>
      </c>
      <c r="D23" s="4" t="s">
        <v>1005</v>
      </c>
      <c r="E23" s="7" t="s">
        <v>5</v>
      </c>
    </row>
    <row r="24" spans="1:5" x14ac:dyDescent="0.2">
      <c r="A24" s="4">
        <v>23</v>
      </c>
      <c r="B24" s="16" t="s">
        <v>1129</v>
      </c>
      <c r="C24" s="4" t="s">
        <v>1350</v>
      </c>
      <c r="D24" s="4" t="s">
        <v>1004</v>
      </c>
      <c r="E24" s="6" t="s">
        <v>4</v>
      </c>
    </row>
    <row r="25" spans="1:5" x14ac:dyDescent="0.2">
      <c r="A25" s="4">
        <v>24</v>
      </c>
      <c r="B25" s="16" t="s">
        <v>1351</v>
      </c>
      <c r="C25" s="4" t="s">
        <v>160</v>
      </c>
      <c r="D25" s="4" t="s">
        <v>1024</v>
      </c>
      <c r="E25" s="7" t="s">
        <v>5</v>
      </c>
    </row>
    <row r="26" spans="1:5" x14ac:dyDescent="0.2">
      <c r="A26" s="4">
        <v>25</v>
      </c>
      <c r="B26" s="16" t="s">
        <v>1352</v>
      </c>
      <c r="C26" s="4" t="s">
        <v>118</v>
      </c>
      <c r="D26" s="4" t="s">
        <v>1005</v>
      </c>
      <c r="E26" s="5" t="s">
        <v>3</v>
      </c>
    </row>
    <row r="27" spans="1:5" x14ac:dyDescent="0.2">
      <c r="A27" s="4">
        <v>26</v>
      </c>
      <c r="B27" s="16" t="s">
        <v>1353</v>
      </c>
      <c r="C27" s="4" t="s">
        <v>368</v>
      </c>
      <c r="D27" s="4" t="s">
        <v>1033</v>
      </c>
      <c r="E27" s="7" t="s">
        <v>5</v>
      </c>
    </row>
    <row r="28" spans="1:5" x14ac:dyDescent="0.2">
      <c r="A28" s="4">
        <v>27</v>
      </c>
      <c r="B28" s="16" t="s">
        <v>1025</v>
      </c>
      <c r="C28" s="4" t="s">
        <v>85</v>
      </c>
      <c r="D28" s="4" t="s">
        <v>1005</v>
      </c>
      <c r="E28" s="6" t="s">
        <v>4</v>
      </c>
    </row>
    <row r="29" spans="1:5" x14ac:dyDescent="0.2">
      <c r="A29" s="4">
        <v>28</v>
      </c>
      <c r="B29" s="16" t="s">
        <v>1354</v>
      </c>
      <c r="C29" s="4" t="s">
        <v>204</v>
      </c>
      <c r="D29" s="4" t="s">
        <v>1049</v>
      </c>
      <c r="E29" s="6" t="s">
        <v>4</v>
      </c>
    </row>
    <row r="30" spans="1:5" x14ac:dyDescent="0.2">
      <c r="A30" s="4">
        <v>29</v>
      </c>
      <c r="B30" s="16" t="s">
        <v>1355</v>
      </c>
      <c r="C30" s="4" t="s">
        <v>332</v>
      </c>
      <c r="D30" s="4" t="s">
        <v>1004</v>
      </c>
      <c r="E30" s="7" t="s">
        <v>5</v>
      </c>
    </row>
    <row r="31" spans="1:5" x14ac:dyDescent="0.2">
      <c r="A31" s="4">
        <v>30</v>
      </c>
      <c r="B31" s="16" t="s">
        <v>1356</v>
      </c>
      <c r="C31" s="4" t="s">
        <v>160</v>
      </c>
      <c r="D31" s="4" t="s">
        <v>1049</v>
      </c>
      <c r="E31" s="7" t="s">
        <v>5</v>
      </c>
    </row>
    <row r="32" spans="1:5" x14ac:dyDescent="0.2">
      <c r="A32" s="4">
        <v>31</v>
      </c>
      <c r="B32" s="16" t="s">
        <v>1026</v>
      </c>
      <c r="C32" s="4" t="s">
        <v>95</v>
      </c>
      <c r="D32" s="4" t="s">
        <v>1027</v>
      </c>
      <c r="E32" s="6" t="s">
        <v>4</v>
      </c>
    </row>
    <row r="33" spans="1:5" x14ac:dyDescent="0.2">
      <c r="A33" s="4">
        <v>32</v>
      </c>
      <c r="B33" s="16" t="s">
        <v>1128</v>
      </c>
      <c r="C33" s="4" t="s">
        <v>332</v>
      </c>
      <c r="D33" s="4" t="s">
        <v>1040</v>
      </c>
      <c r="E33" s="6" t="s">
        <v>4</v>
      </c>
    </row>
    <row r="34" spans="1:5" x14ac:dyDescent="0.2">
      <c r="A34" s="4">
        <v>33</v>
      </c>
      <c r="B34" s="16" t="s">
        <v>1357</v>
      </c>
      <c r="C34" s="4" t="s">
        <v>105</v>
      </c>
      <c r="D34" s="4" t="s">
        <v>1005</v>
      </c>
      <c r="E34" s="6" t="s">
        <v>4</v>
      </c>
    </row>
    <row r="35" spans="1:5" x14ac:dyDescent="0.2">
      <c r="A35" s="4">
        <v>34</v>
      </c>
      <c r="B35" s="16" t="s">
        <v>1358</v>
      </c>
      <c r="C35" s="4" t="s">
        <v>121</v>
      </c>
      <c r="D35" s="4" t="s">
        <v>1359</v>
      </c>
      <c r="E35" s="5" t="s">
        <v>3</v>
      </c>
    </row>
    <row r="36" spans="1:5" x14ac:dyDescent="0.2">
      <c r="A36" s="4">
        <v>35</v>
      </c>
      <c r="B36" s="16" t="s">
        <v>1016</v>
      </c>
      <c r="C36" s="4" t="s">
        <v>10</v>
      </c>
      <c r="D36" s="4" t="s">
        <v>1005</v>
      </c>
      <c r="E36" s="5" t="s">
        <v>3</v>
      </c>
    </row>
    <row r="37" spans="1:5" x14ac:dyDescent="0.2">
      <c r="A37" s="4">
        <v>36</v>
      </c>
      <c r="B37" s="16" t="s">
        <v>1126</v>
      </c>
      <c r="C37" s="4" t="s">
        <v>100</v>
      </c>
      <c r="D37" s="4" t="s">
        <v>1004</v>
      </c>
      <c r="E37" s="5" t="s">
        <v>3</v>
      </c>
    </row>
    <row r="38" spans="1:5" x14ac:dyDescent="0.2">
      <c r="A38" s="4">
        <v>37</v>
      </c>
      <c r="B38" s="16" t="s">
        <v>1360</v>
      </c>
      <c r="C38" s="4" t="s">
        <v>64</v>
      </c>
      <c r="D38" s="4" t="s">
        <v>1004</v>
      </c>
      <c r="E38" s="7" t="s">
        <v>5</v>
      </c>
    </row>
    <row r="39" spans="1:5" x14ac:dyDescent="0.2">
      <c r="A39" s="4">
        <v>38</v>
      </c>
      <c r="B39" s="16" t="s">
        <v>1361</v>
      </c>
      <c r="C39" s="4" t="s">
        <v>204</v>
      </c>
      <c r="D39" s="4" t="s">
        <v>1005</v>
      </c>
      <c r="E39" s="5" t="s">
        <v>3</v>
      </c>
    </row>
    <row r="40" spans="1:5" x14ac:dyDescent="0.2">
      <c r="A40" s="4">
        <v>39</v>
      </c>
      <c r="B40" s="16" t="s">
        <v>1362</v>
      </c>
      <c r="C40" s="4" t="s">
        <v>87</v>
      </c>
      <c r="D40" s="4" t="s">
        <v>1011</v>
      </c>
      <c r="E40" s="5" t="s">
        <v>3</v>
      </c>
    </row>
    <row r="41" spans="1:5" x14ac:dyDescent="0.2">
      <c r="A41" s="4">
        <v>40</v>
      </c>
      <c r="B41" s="16" t="s">
        <v>1363</v>
      </c>
      <c r="C41" s="4" t="s">
        <v>58</v>
      </c>
      <c r="D41" s="4" t="s">
        <v>1345</v>
      </c>
      <c r="E41" s="5" t="s">
        <v>3</v>
      </c>
    </row>
    <row r="42" spans="1:5" x14ac:dyDescent="0.2">
      <c r="A42" s="4">
        <v>41</v>
      </c>
      <c r="B42" s="16" t="s">
        <v>1364</v>
      </c>
      <c r="C42" s="4" t="s">
        <v>112</v>
      </c>
      <c r="D42" s="4" t="s">
        <v>1005</v>
      </c>
      <c r="E42" s="5" t="s">
        <v>3</v>
      </c>
    </row>
    <row r="43" spans="1:5" x14ac:dyDescent="0.2">
      <c r="A43" s="4">
        <v>42</v>
      </c>
      <c r="B43" s="16" t="s">
        <v>1365</v>
      </c>
      <c r="C43" s="4" t="s">
        <v>60</v>
      </c>
      <c r="D43" s="4" t="s">
        <v>1049</v>
      </c>
      <c r="E43" s="7" t="s">
        <v>5</v>
      </c>
    </row>
    <row r="44" spans="1:5" x14ac:dyDescent="0.2">
      <c r="A44" s="4">
        <v>43</v>
      </c>
      <c r="B44" s="16" t="s">
        <v>1366</v>
      </c>
      <c r="C44" s="4" t="s">
        <v>332</v>
      </c>
      <c r="D44" s="4" t="s">
        <v>1005</v>
      </c>
      <c r="E44" s="6" t="s">
        <v>4</v>
      </c>
    </row>
    <row r="45" spans="1:5" x14ac:dyDescent="0.2">
      <c r="A45" s="4">
        <v>44</v>
      </c>
      <c r="B45" s="16" t="s">
        <v>1367</v>
      </c>
      <c r="C45" s="4" t="s">
        <v>187</v>
      </c>
      <c r="D45" s="4" t="s">
        <v>1049</v>
      </c>
      <c r="E45" s="7" t="s">
        <v>5</v>
      </c>
    </row>
    <row r="46" spans="1:5" x14ac:dyDescent="0.2">
      <c r="A46" s="4">
        <v>45</v>
      </c>
      <c r="B46" s="16" t="s">
        <v>1368</v>
      </c>
      <c r="C46" s="4" t="s">
        <v>179</v>
      </c>
      <c r="D46" s="4" t="s">
        <v>1005</v>
      </c>
      <c r="E46" s="5" t="s">
        <v>3</v>
      </c>
    </row>
    <row r="47" spans="1:5" x14ac:dyDescent="0.2">
      <c r="A47" s="4">
        <v>46</v>
      </c>
      <c r="B47" s="16" t="s">
        <v>1369</v>
      </c>
      <c r="C47" s="4" t="s">
        <v>48</v>
      </c>
      <c r="D47" s="4" t="s">
        <v>1005</v>
      </c>
      <c r="E47" s="5" t="s">
        <v>3</v>
      </c>
    </row>
    <row r="48" spans="1:5" x14ac:dyDescent="0.2">
      <c r="A48" s="4">
        <v>47</v>
      </c>
      <c r="B48" s="16" t="s">
        <v>1028</v>
      </c>
      <c r="C48" s="4" t="s">
        <v>283</v>
      </c>
      <c r="D48" s="4" t="s">
        <v>1005</v>
      </c>
      <c r="E48" s="6" t="s">
        <v>4</v>
      </c>
    </row>
    <row r="49" spans="1:5" x14ac:dyDescent="0.2">
      <c r="A49" s="4">
        <v>48</v>
      </c>
      <c r="B49" s="16" t="s">
        <v>1370</v>
      </c>
      <c r="C49" s="4" t="s">
        <v>150</v>
      </c>
      <c r="D49" s="4" t="s">
        <v>1005</v>
      </c>
      <c r="E49" s="6" t="s">
        <v>4</v>
      </c>
    </row>
    <row r="50" spans="1:5" x14ac:dyDescent="0.2">
      <c r="A50" s="4">
        <v>49</v>
      </c>
      <c r="B50" s="16" t="s">
        <v>1017</v>
      </c>
      <c r="C50" s="4" t="s">
        <v>43</v>
      </c>
      <c r="D50" s="4" t="s">
        <v>1018</v>
      </c>
      <c r="E50" s="5" t="s">
        <v>3</v>
      </c>
    </row>
    <row r="51" spans="1:5" x14ac:dyDescent="0.2">
      <c r="A51" s="4">
        <v>50</v>
      </c>
      <c r="B51" s="16" t="s">
        <v>1032</v>
      </c>
      <c r="C51" s="4" t="s">
        <v>95</v>
      </c>
      <c r="D51" s="4" t="s">
        <v>1033</v>
      </c>
      <c r="E51" s="7" t="s">
        <v>5</v>
      </c>
    </row>
    <row r="52" spans="1:5" x14ac:dyDescent="0.2">
      <c r="A52" s="4">
        <v>51</v>
      </c>
      <c r="B52" s="16" t="s">
        <v>1371</v>
      </c>
      <c r="C52" s="4" t="s">
        <v>68</v>
      </c>
      <c r="D52" s="4" t="s">
        <v>1005</v>
      </c>
      <c r="E52" s="5" t="s">
        <v>3</v>
      </c>
    </row>
  </sheetData>
  <autoFilter ref="A1:E52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2"/>
  <sheetViews>
    <sheetView topLeftCell="B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38" customWidth="1"/>
    <col min="3" max="3" width="14" customWidth="1"/>
    <col min="4" max="4" width="11" customWidth="1"/>
    <col min="5" max="5" width="50" customWidth="1"/>
    <col min="6" max="6" width="95" customWidth="1"/>
  </cols>
  <sheetData>
    <row r="1" spans="1:6" x14ac:dyDescent="0.2">
      <c r="A1" s="3" t="s">
        <v>20</v>
      </c>
      <c r="B1" s="3" t="s">
        <v>21</v>
      </c>
      <c r="C1" s="3" t="s">
        <v>22</v>
      </c>
      <c r="D1" s="3" t="s">
        <v>24</v>
      </c>
      <c r="E1" s="3" t="s">
        <v>440</v>
      </c>
      <c r="F1" s="3" t="s">
        <v>441</v>
      </c>
    </row>
    <row r="2" spans="1:6" ht="75" customHeight="1" x14ac:dyDescent="0.2">
      <c r="A2" s="8">
        <v>1</v>
      </c>
      <c r="B2" s="8" t="s">
        <v>1010</v>
      </c>
      <c r="C2" s="8" t="s">
        <v>29</v>
      </c>
      <c r="D2" s="9" t="s">
        <v>3</v>
      </c>
      <c r="E2" s="10" t="s">
        <v>1372</v>
      </c>
      <c r="F2" s="10" t="s">
        <v>1373</v>
      </c>
    </row>
    <row r="3" spans="1:6" ht="90" customHeight="1" x14ac:dyDescent="0.2">
      <c r="A3" s="8">
        <v>2</v>
      </c>
      <c r="B3" s="8" t="s">
        <v>1019</v>
      </c>
      <c r="C3" s="8" t="s">
        <v>327</v>
      </c>
      <c r="D3" s="11" t="s">
        <v>4</v>
      </c>
      <c r="E3" s="10" t="s">
        <v>1374</v>
      </c>
      <c r="F3" s="10" t="s">
        <v>1375</v>
      </c>
    </row>
    <row r="4" spans="1:6" ht="165" customHeight="1" x14ac:dyDescent="0.2">
      <c r="A4" s="8">
        <v>3</v>
      </c>
      <c r="B4" s="8" t="s">
        <v>1339</v>
      </c>
      <c r="C4" s="8" t="s">
        <v>51</v>
      </c>
      <c r="D4" s="12" t="s">
        <v>5</v>
      </c>
      <c r="E4" s="10" t="s">
        <v>1376</v>
      </c>
      <c r="F4" s="10" t="s">
        <v>1377</v>
      </c>
    </row>
    <row r="5" spans="1:6" ht="120" customHeight="1" x14ac:dyDescent="0.2">
      <c r="A5" s="8">
        <v>4</v>
      </c>
      <c r="B5" s="8" t="s">
        <v>1020</v>
      </c>
      <c r="C5" s="8" t="s">
        <v>90</v>
      </c>
      <c r="D5" s="11" t="s">
        <v>4</v>
      </c>
      <c r="E5" s="10" t="s">
        <v>1378</v>
      </c>
      <c r="F5" s="10" t="s">
        <v>1379</v>
      </c>
    </row>
    <row r="6" spans="1:6" ht="120" customHeight="1" x14ac:dyDescent="0.2">
      <c r="A6" s="8">
        <v>5</v>
      </c>
      <c r="B6" s="8" t="s">
        <v>1340</v>
      </c>
      <c r="C6" s="8" t="s">
        <v>87</v>
      </c>
      <c r="D6" s="9" t="s">
        <v>3</v>
      </c>
      <c r="E6" s="10" t="s">
        <v>1380</v>
      </c>
      <c r="F6" s="10" t="s">
        <v>1381</v>
      </c>
    </row>
    <row r="7" spans="1:6" ht="75" customHeight="1" x14ac:dyDescent="0.2">
      <c r="A7" s="8">
        <v>6</v>
      </c>
      <c r="B7" s="8" t="s">
        <v>1012</v>
      </c>
      <c r="C7" s="8" t="s">
        <v>191</v>
      </c>
      <c r="D7" s="9" t="s">
        <v>3</v>
      </c>
      <c r="E7" s="10" t="s">
        <v>1382</v>
      </c>
      <c r="F7" s="10" t="s">
        <v>1383</v>
      </c>
    </row>
    <row r="8" spans="1:6" ht="165" customHeight="1" x14ac:dyDescent="0.2">
      <c r="A8" s="8">
        <v>7</v>
      </c>
      <c r="B8" s="8" t="s">
        <v>1029</v>
      </c>
      <c r="C8" s="8" t="s">
        <v>131</v>
      </c>
      <c r="D8" s="12" t="s">
        <v>5</v>
      </c>
      <c r="E8" s="10" t="s">
        <v>1384</v>
      </c>
      <c r="F8" s="10" t="s">
        <v>1385</v>
      </c>
    </row>
    <row r="9" spans="1:6" ht="105" customHeight="1" x14ac:dyDescent="0.2">
      <c r="A9" s="8">
        <v>8</v>
      </c>
      <c r="B9" s="8" t="s">
        <v>1341</v>
      </c>
      <c r="C9" s="8" t="s">
        <v>58</v>
      </c>
      <c r="D9" s="9" t="s">
        <v>3</v>
      </c>
      <c r="E9" s="10" t="s">
        <v>1386</v>
      </c>
      <c r="F9" s="10" t="s">
        <v>1387</v>
      </c>
    </row>
    <row r="10" spans="1:6" ht="60" customHeight="1" x14ac:dyDescent="0.2">
      <c r="A10" s="8">
        <v>9</v>
      </c>
      <c r="B10" s="8" t="s">
        <v>1127</v>
      </c>
      <c r="C10" s="8" t="s">
        <v>68</v>
      </c>
      <c r="D10" s="11" t="s">
        <v>4</v>
      </c>
      <c r="E10" s="10" t="s">
        <v>1388</v>
      </c>
      <c r="F10" s="10" t="s">
        <v>1389</v>
      </c>
    </row>
    <row r="11" spans="1:6" ht="150" customHeight="1" x14ac:dyDescent="0.2">
      <c r="A11" s="8">
        <v>10</v>
      </c>
      <c r="B11" s="8" t="s">
        <v>1022</v>
      </c>
      <c r="C11" s="8" t="s">
        <v>191</v>
      </c>
      <c r="D11" s="11" t="s">
        <v>4</v>
      </c>
      <c r="E11" s="10" t="s">
        <v>1390</v>
      </c>
      <c r="F11" s="10" t="s">
        <v>1391</v>
      </c>
    </row>
    <row r="12" spans="1:6" ht="75" customHeight="1" x14ac:dyDescent="0.2">
      <c r="A12" s="8">
        <v>11</v>
      </c>
      <c r="B12" s="8" t="s">
        <v>1014</v>
      </c>
      <c r="C12" s="8" t="s">
        <v>226</v>
      </c>
      <c r="D12" s="9" t="s">
        <v>3</v>
      </c>
      <c r="E12" s="10" t="s">
        <v>1392</v>
      </c>
      <c r="F12" s="10" t="s">
        <v>1393</v>
      </c>
    </row>
    <row r="13" spans="1:6" ht="150" customHeight="1" x14ac:dyDescent="0.2">
      <c r="A13" s="8">
        <v>12</v>
      </c>
      <c r="B13" s="8" t="s">
        <v>1124</v>
      </c>
      <c r="C13" s="8" t="s">
        <v>148</v>
      </c>
      <c r="D13" s="9" t="s">
        <v>3</v>
      </c>
      <c r="E13" s="10" t="s">
        <v>1394</v>
      </c>
      <c r="F13" s="10" t="s">
        <v>1395</v>
      </c>
    </row>
    <row r="14" spans="1:6" ht="60" customHeight="1" x14ac:dyDescent="0.2">
      <c r="A14" s="8">
        <v>13</v>
      </c>
      <c r="B14" s="8" t="s">
        <v>1130</v>
      </c>
      <c r="C14" s="8" t="s">
        <v>267</v>
      </c>
      <c r="D14" s="11" t="s">
        <v>4</v>
      </c>
      <c r="E14" s="10" t="s">
        <v>1396</v>
      </c>
      <c r="F14" s="10" t="s">
        <v>1397</v>
      </c>
    </row>
    <row r="15" spans="1:6" ht="195" customHeight="1" x14ac:dyDescent="0.2">
      <c r="A15" s="8">
        <v>14</v>
      </c>
      <c r="B15" s="8" t="s">
        <v>1342</v>
      </c>
      <c r="C15" s="8" t="s">
        <v>271</v>
      </c>
      <c r="D15" s="12" t="s">
        <v>5</v>
      </c>
      <c r="E15" s="10" t="s">
        <v>1398</v>
      </c>
      <c r="F15" s="10" t="s">
        <v>1399</v>
      </c>
    </row>
    <row r="16" spans="1:6" ht="60" customHeight="1" x14ac:dyDescent="0.2">
      <c r="A16" s="8">
        <v>15</v>
      </c>
      <c r="B16" s="8" t="s">
        <v>1031</v>
      </c>
      <c r="C16" s="8" t="s">
        <v>118</v>
      </c>
      <c r="D16" s="12" t="s">
        <v>5</v>
      </c>
      <c r="E16" s="10" t="s">
        <v>1400</v>
      </c>
      <c r="F16" s="10" t="s">
        <v>1401</v>
      </c>
    </row>
    <row r="17" spans="1:6" ht="90" customHeight="1" x14ac:dyDescent="0.2">
      <c r="A17" s="8">
        <v>16</v>
      </c>
      <c r="B17" s="8" t="s">
        <v>1344</v>
      </c>
      <c r="C17" s="8" t="s">
        <v>368</v>
      </c>
      <c r="D17" s="9" t="s">
        <v>3</v>
      </c>
      <c r="E17" s="10" t="s">
        <v>1402</v>
      </c>
      <c r="F17" s="10" t="s">
        <v>1403</v>
      </c>
    </row>
    <row r="18" spans="1:6" ht="210" customHeight="1" x14ac:dyDescent="0.2">
      <c r="A18" s="8">
        <v>17</v>
      </c>
      <c r="B18" s="8" t="s">
        <v>1346</v>
      </c>
      <c r="C18" s="8" t="s">
        <v>58</v>
      </c>
      <c r="D18" s="9" t="s">
        <v>3</v>
      </c>
      <c r="E18" s="10" t="s">
        <v>1404</v>
      </c>
      <c r="F18" s="10" t="s">
        <v>1405</v>
      </c>
    </row>
    <row r="19" spans="1:6" ht="60" customHeight="1" x14ac:dyDescent="0.2">
      <c r="A19" s="8">
        <v>18</v>
      </c>
      <c r="B19" s="8" t="s">
        <v>1023</v>
      </c>
      <c r="C19" s="8" t="s">
        <v>197</v>
      </c>
      <c r="D19" s="11" t="s">
        <v>4</v>
      </c>
      <c r="E19" s="10" t="s">
        <v>1406</v>
      </c>
      <c r="F19" s="10" t="s">
        <v>1407</v>
      </c>
    </row>
    <row r="20" spans="1:6" ht="135" customHeight="1" x14ac:dyDescent="0.2">
      <c r="A20" s="8">
        <v>19</v>
      </c>
      <c r="B20" s="8" t="s">
        <v>1347</v>
      </c>
      <c r="C20" s="8" t="s">
        <v>405</v>
      </c>
      <c r="D20" s="11" t="s">
        <v>4</v>
      </c>
      <c r="E20" s="10" t="s">
        <v>1408</v>
      </c>
      <c r="F20" s="10" t="s">
        <v>1409</v>
      </c>
    </row>
    <row r="21" spans="1:6" ht="180" customHeight="1" x14ac:dyDescent="0.2">
      <c r="A21" s="8">
        <v>20</v>
      </c>
      <c r="B21" s="8" t="s">
        <v>1348</v>
      </c>
      <c r="C21" s="8" t="s">
        <v>187</v>
      </c>
      <c r="D21" s="12" t="s">
        <v>5</v>
      </c>
      <c r="E21" s="10" t="s">
        <v>1410</v>
      </c>
      <c r="F21" s="10" t="s">
        <v>1411</v>
      </c>
    </row>
    <row r="22" spans="1:6" ht="135" customHeight="1" x14ac:dyDescent="0.2">
      <c r="A22" s="8">
        <v>21</v>
      </c>
      <c r="B22" s="8" t="s">
        <v>1131</v>
      </c>
      <c r="C22" s="8" t="s">
        <v>112</v>
      </c>
      <c r="D22" s="12" t="s">
        <v>5</v>
      </c>
      <c r="E22" s="10" t="s">
        <v>1412</v>
      </c>
      <c r="F22" s="10" t="s">
        <v>1413</v>
      </c>
    </row>
    <row r="23" spans="1:6" ht="150" customHeight="1" x14ac:dyDescent="0.2">
      <c r="A23" s="8">
        <v>22</v>
      </c>
      <c r="B23" s="8" t="s">
        <v>1349</v>
      </c>
      <c r="C23" s="8" t="s">
        <v>368</v>
      </c>
      <c r="D23" s="12" t="s">
        <v>5</v>
      </c>
      <c r="E23" s="10" t="s">
        <v>1414</v>
      </c>
      <c r="F23" s="10" t="s">
        <v>1415</v>
      </c>
    </row>
    <row r="24" spans="1:6" ht="120" customHeight="1" x14ac:dyDescent="0.2">
      <c r="A24" s="8">
        <v>23</v>
      </c>
      <c r="B24" s="8" t="s">
        <v>1129</v>
      </c>
      <c r="C24" s="8" t="s">
        <v>1350</v>
      </c>
      <c r="D24" s="11" t="s">
        <v>4</v>
      </c>
      <c r="E24" s="10" t="s">
        <v>1416</v>
      </c>
      <c r="F24" s="10" t="s">
        <v>1417</v>
      </c>
    </row>
    <row r="25" spans="1:6" ht="240" customHeight="1" x14ac:dyDescent="0.2">
      <c r="A25" s="8">
        <v>24</v>
      </c>
      <c r="B25" s="8" t="s">
        <v>1351</v>
      </c>
      <c r="C25" s="8" t="s">
        <v>160</v>
      </c>
      <c r="D25" s="12" t="s">
        <v>5</v>
      </c>
      <c r="E25" s="10" t="s">
        <v>1418</v>
      </c>
      <c r="F25" s="10" t="s">
        <v>1419</v>
      </c>
    </row>
    <row r="26" spans="1:6" ht="105" customHeight="1" x14ac:dyDescent="0.2">
      <c r="A26" s="8">
        <v>25</v>
      </c>
      <c r="B26" s="8" t="s">
        <v>1352</v>
      </c>
      <c r="C26" s="8" t="s">
        <v>118</v>
      </c>
      <c r="D26" s="9" t="s">
        <v>3</v>
      </c>
      <c r="E26" s="10" t="s">
        <v>1420</v>
      </c>
      <c r="F26" s="10" t="s">
        <v>1421</v>
      </c>
    </row>
    <row r="27" spans="1:6" ht="105" customHeight="1" x14ac:dyDescent="0.2">
      <c r="A27" s="8">
        <v>26</v>
      </c>
      <c r="B27" s="8" t="s">
        <v>1353</v>
      </c>
      <c r="C27" s="8" t="s">
        <v>368</v>
      </c>
      <c r="D27" s="12" t="s">
        <v>5</v>
      </c>
      <c r="E27" s="10" t="s">
        <v>1422</v>
      </c>
      <c r="F27" s="10" t="s">
        <v>1423</v>
      </c>
    </row>
    <row r="28" spans="1:6" ht="120" customHeight="1" x14ac:dyDescent="0.2">
      <c r="A28" s="8">
        <v>27</v>
      </c>
      <c r="B28" s="8" t="s">
        <v>1025</v>
      </c>
      <c r="C28" s="8" t="s">
        <v>85</v>
      </c>
      <c r="D28" s="11" t="s">
        <v>4</v>
      </c>
      <c r="E28" s="10" t="s">
        <v>1424</v>
      </c>
      <c r="F28" s="10" t="s">
        <v>1425</v>
      </c>
    </row>
    <row r="29" spans="1:6" ht="60" customHeight="1" x14ac:dyDescent="0.2">
      <c r="A29" s="8">
        <v>28</v>
      </c>
      <c r="B29" s="8" t="s">
        <v>1354</v>
      </c>
      <c r="C29" s="8" t="s">
        <v>204</v>
      </c>
      <c r="D29" s="11" t="s">
        <v>4</v>
      </c>
      <c r="E29" s="10" t="s">
        <v>1426</v>
      </c>
      <c r="F29" s="10" t="s">
        <v>1427</v>
      </c>
    </row>
    <row r="30" spans="1:6" ht="195" customHeight="1" x14ac:dyDescent="0.2">
      <c r="A30" s="8">
        <v>29</v>
      </c>
      <c r="B30" s="8" t="s">
        <v>1355</v>
      </c>
      <c r="C30" s="8" t="s">
        <v>332</v>
      </c>
      <c r="D30" s="12" t="s">
        <v>5</v>
      </c>
      <c r="E30" s="10" t="s">
        <v>1428</v>
      </c>
      <c r="F30" s="10" t="s">
        <v>1429</v>
      </c>
    </row>
    <row r="31" spans="1:6" ht="165" customHeight="1" x14ac:dyDescent="0.2">
      <c r="A31" s="8">
        <v>30</v>
      </c>
      <c r="B31" s="8" t="s">
        <v>1356</v>
      </c>
      <c r="C31" s="8" t="s">
        <v>160</v>
      </c>
      <c r="D31" s="12" t="s">
        <v>5</v>
      </c>
      <c r="E31" s="10" t="s">
        <v>1430</v>
      </c>
      <c r="F31" s="10" t="s">
        <v>1431</v>
      </c>
    </row>
    <row r="32" spans="1:6" ht="90" customHeight="1" x14ac:dyDescent="0.2">
      <c r="A32" s="8">
        <v>31</v>
      </c>
      <c r="B32" s="8" t="s">
        <v>1026</v>
      </c>
      <c r="C32" s="8" t="s">
        <v>95</v>
      </c>
      <c r="D32" s="11" t="s">
        <v>4</v>
      </c>
      <c r="E32" s="10" t="s">
        <v>1432</v>
      </c>
      <c r="F32" s="10" t="s">
        <v>1433</v>
      </c>
    </row>
    <row r="33" spans="1:6" ht="195" customHeight="1" x14ac:dyDescent="0.2">
      <c r="A33" s="8">
        <v>32</v>
      </c>
      <c r="B33" s="8" t="s">
        <v>1128</v>
      </c>
      <c r="C33" s="8" t="s">
        <v>332</v>
      </c>
      <c r="D33" s="11" t="s">
        <v>4</v>
      </c>
      <c r="E33" s="10" t="s">
        <v>1434</v>
      </c>
      <c r="F33" s="10" t="s">
        <v>1435</v>
      </c>
    </row>
    <row r="34" spans="1:6" ht="90" customHeight="1" x14ac:dyDescent="0.2">
      <c r="A34" s="8">
        <v>33</v>
      </c>
      <c r="B34" s="8" t="s">
        <v>1357</v>
      </c>
      <c r="C34" s="8" t="s">
        <v>105</v>
      </c>
      <c r="D34" s="11" t="s">
        <v>4</v>
      </c>
      <c r="E34" s="10" t="s">
        <v>1436</v>
      </c>
      <c r="F34" s="10" t="s">
        <v>1437</v>
      </c>
    </row>
    <row r="35" spans="1:6" ht="90" customHeight="1" x14ac:dyDescent="0.2">
      <c r="A35" s="8">
        <v>34</v>
      </c>
      <c r="B35" s="8" t="s">
        <v>1358</v>
      </c>
      <c r="C35" s="8" t="s">
        <v>121</v>
      </c>
      <c r="D35" s="9" t="s">
        <v>3</v>
      </c>
      <c r="E35" s="10" t="s">
        <v>1438</v>
      </c>
      <c r="F35" s="10" t="s">
        <v>1439</v>
      </c>
    </row>
    <row r="36" spans="1:6" ht="105" customHeight="1" x14ac:dyDescent="0.2">
      <c r="A36" s="8">
        <v>35</v>
      </c>
      <c r="B36" s="8" t="s">
        <v>1016</v>
      </c>
      <c r="C36" s="8" t="s">
        <v>10</v>
      </c>
      <c r="D36" s="9" t="s">
        <v>3</v>
      </c>
      <c r="E36" s="10" t="s">
        <v>1440</v>
      </c>
      <c r="F36" s="10" t="s">
        <v>1441</v>
      </c>
    </row>
    <row r="37" spans="1:6" ht="120" customHeight="1" x14ac:dyDescent="0.2">
      <c r="A37" s="8">
        <v>36</v>
      </c>
      <c r="B37" s="8" t="s">
        <v>1126</v>
      </c>
      <c r="C37" s="8" t="s">
        <v>100</v>
      </c>
      <c r="D37" s="9" t="s">
        <v>3</v>
      </c>
      <c r="E37" s="10" t="s">
        <v>1442</v>
      </c>
      <c r="F37" s="10" t="s">
        <v>1443</v>
      </c>
    </row>
    <row r="38" spans="1:6" ht="150" customHeight="1" x14ac:dyDescent="0.2">
      <c r="A38" s="8">
        <v>37</v>
      </c>
      <c r="B38" s="8" t="s">
        <v>1360</v>
      </c>
      <c r="C38" s="8" t="s">
        <v>64</v>
      </c>
      <c r="D38" s="12" t="s">
        <v>5</v>
      </c>
      <c r="E38" s="10" t="s">
        <v>1444</v>
      </c>
      <c r="F38" s="10" t="s">
        <v>1445</v>
      </c>
    </row>
    <row r="39" spans="1:6" ht="60" customHeight="1" x14ac:dyDescent="0.2">
      <c r="A39" s="8">
        <v>38</v>
      </c>
      <c r="B39" s="8" t="s">
        <v>1361</v>
      </c>
      <c r="C39" s="8" t="s">
        <v>204</v>
      </c>
      <c r="D39" s="9" t="s">
        <v>3</v>
      </c>
      <c r="E39" s="10" t="s">
        <v>1446</v>
      </c>
      <c r="F39" s="10" t="s">
        <v>1447</v>
      </c>
    </row>
    <row r="40" spans="1:6" ht="60" customHeight="1" x14ac:dyDescent="0.2">
      <c r="A40" s="8">
        <v>39</v>
      </c>
      <c r="B40" s="8" t="s">
        <v>1362</v>
      </c>
      <c r="C40" s="8" t="s">
        <v>87</v>
      </c>
      <c r="D40" s="9" t="s">
        <v>3</v>
      </c>
      <c r="E40" s="10" t="s">
        <v>1448</v>
      </c>
      <c r="F40" s="10" t="s">
        <v>1449</v>
      </c>
    </row>
    <row r="41" spans="1:6" ht="120" customHeight="1" x14ac:dyDescent="0.2">
      <c r="A41" s="8">
        <v>40</v>
      </c>
      <c r="B41" s="8" t="s">
        <v>1363</v>
      </c>
      <c r="C41" s="8" t="s">
        <v>58</v>
      </c>
      <c r="D41" s="9" t="s">
        <v>3</v>
      </c>
      <c r="E41" s="10" t="s">
        <v>1450</v>
      </c>
      <c r="F41" s="10" t="s">
        <v>1451</v>
      </c>
    </row>
    <row r="42" spans="1:6" ht="105" customHeight="1" x14ac:dyDescent="0.2">
      <c r="A42" s="8">
        <v>41</v>
      </c>
      <c r="B42" s="8" t="s">
        <v>1364</v>
      </c>
      <c r="C42" s="8" t="s">
        <v>112</v>
      </c>
      <c r="D42" s="9" t="s">
        <v>3</v>
      </c>
      <c r="E42" s="10" t="s">
        <v>1452</v>
      </c>
      <c r="F42" s="10" t="s">
        <v>1453</v>
      </c>
    </row>
    <row r="43" spans="1:6" ht="180" customHeight="1" x14ac:dyDescent="0.2">
      <c r="A43" s="8">
        <v>42</v>
      </c>
      <c r="B43" s="8" t="s">
        <v>1365</v>
      </c>
      <c r="C43" s="8" t="s">
        <v>60</v>
      </c>
      <c r="D43" s="12" t="s">
        <v>5</v>
      </c>
      <c r="E43" s="10" t="s">
        <v>1454</v>
      </c>
      <c r="F43" s="10" t="s">
        <v>1455</v>
      </c>
    </row>
    <row r="44" spans="1:6" ht="120" customHeight="1" x14ac:dyDescent="0.2">
      <c r="A44" s="8">
        <v>43</v>
      </c>
      <c r="B44" s="8" t="s">
        <v>1366</v>
      </c>
      <c r="C44" s="8" t="s">
        <v>332</v>
      </c>
      <c r="D44" s="11" t="s">
        <v>4</v>
      </c>
      <c r="E44" s="10" t="s">
        <v>1456</v>
      </c>
      <c r="F44" s="10" t="s">
        <v>1457</v>
      </c>
    </row>
    <row r="45" spans="1:6" ht="120" customHeight="1" x14ac:dyDescent="0.2">
      <c r="A45" s="8">
        <v>44</v>
      </c>
      <c r="B45" s="8" t="s">
        <v>1367</v>
      </c>
      <c r="C45" s="8" t="s">
        <v>187</v>
      </c>
      <c r="D45" s="12" t="s">
        <v>5</v>
      </c>
      <c r="E45" s="10" t="s">
        <v>1458</v>
      </c>
      <c r="F45" s="10" t="s">
        <v>1459</v>
      </c>
    </row>
    <row r="46" spans="1:6" ht="105" customHeight="1" x14ac:dyDescent="0.2">
      <c r="A46" s="8">
        <v>45</v>
      </c>
      <c r="B46" s="8" t="s">
        <v>1368</v>
      </c>
      <c r="C46" s="8" t="s">
        <v>179</v>
      </c>
      <c r="D46" s="9" t="s">
        <v>3</v>
      </c>
      <c r="E46" s="10" t="s">
        <v>1460</v>
      </c>
      <c r="F46" s="10" t="s">
        <v>1461</v>
      </c>
    </row>
    <row r="47" spans="1:6" ht="105" customHeight="1" x14ac:dyDescent="0.2">
      <c r="A47" s="8">
        <v>46</v>
      </c>
      <c r="B47" s="8" t="s">
        <v>1369</v>
      </c>
      <c r="C47" s="8" t="s">
        <v>48</v>
      </c>
      <c r="D47" s="9" t="s">
        <v>3</v>
      </c>
      <c r="E47" s="10" t="s">
        <v>1462</v>
      </c>
      <c r="F47" s="10" t="s">
        <v>1463</v>
      </c>
    </row>
    <row r="48" spans="1:6" ht="90" customHeight="1" x14ac:dyDescent="0.2">
      <c r="A48" s="8">
        <v>47</v>
      </c>
      <c r="B48" s="8" t="s">
        <v>1028</v>
      </c>
      <c r="C48" s="8" t="s">
        <v>283</v>
      </c>
      <c r="D48" s="11" t="s">
        <v>4</v>
      </c>
      <c r="E48" s="10" t="s">
        <v>1464</v>
      </c>
      <c r="F48" s="10" t="s">
        <v>1465</v>
      </c>
    </row>
    <row r="49" spans="1:6" ht="90" customHeight="1" x14ac:dyDescent="0.2">
      <c r="A49" s="8">
        <v>48</v>
      </c>
      <c r="B49" s="8" t="s">
        <v>1370</v>
      </c>
      <c r="C49" s="8" t="s">
        <v>150</v>
      </c>
      <c r="D49" s="11" t="s">
        <v>4</v>
      </c>
      <c r="E49" s="10" t="s">
        <v>1466</v>
      </c>
      <c r="F49" s="10" t="s">
        <v>1467</v>
      </c>
    </row>
    <row r="50" spans="1:6" ht="75" customHeight="1" x14ac:dyDescent="0.2">
      <c r="A50" s="8">
        <v>49</v>
      </c>
      <c r="B50" s="8" t="s">
        <v>1017</v>
      </c>
      <c r="C50" s="8" t="s">
        <v>43</v>
      </c>
      <c r="D50" s="9" t="s">
        <v>3</v>
      </c>
      <c r="E50" s="10" t="s">
        <v>1468</v>
      </c>
      <c r="F50" s="10" t="s">
        <v>1469</v>
      </c>
    </row>
    <row r="51" spans="1:6" ht="120" customHeight="1" x14ac:dyDescent="0.2">
      <c r="A51" s="8">
        <v>50</v>
      </c>
      <c r="B51" s="8" t="s">
        <v>1032</v>
      </c>
      <c r="C51" s="8" t="s">
        <v>95</v>
      </c>
      <c r="D51" s="12" t="s">
        <v>5</v>
      </c>
      <c r="E51" s="10" t="s">
        <v>1470</v>
      </c>
      <c r="F51" s="10" t="s">
        <v>1471</v>
      </c>
    </row>
    <row r="52" spans="1:6" ht="135" customHeight="1" x14ac:dyDescent="0.2">
      <c r="A52" s="8">
        <v>51</v>
      </c>
      <c r="B52" s="8" t="s">
        <v>1371</v>
      </c>
      <c r="C52" s="8" t="s">
        <v>68</v>
      </c>
      <c r="D52" s="9" t="s">
        <v>3</v>
      </c>
      <c r="E52" s="10" t="s">
        <v>1472</v>
      </c>
      <c r="F52" s="10" t="s">
        <v>1473</v>
      </c>
    </row>
  </sheetData>
  <autoFilter ref="A1:F52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6"/>
  <sheetViews>
    <sheetView zoomScaleNormal="100" workbookViewId="0">
      <pane ySplit="1" topLeftCell="A2" activePane="bottomLeft" state="frozen"/>
      <selection pane="bottomLeft" activeCell="F1" sqref="F1:G1048576"/>
    </sheetView>
  </sheetViews>
  <sheetFormatPr baseColWidth="10" defaultColWidth="8.6640625" defaultRowHeight="15" x14ac:dyDescent="0.2"/>
  <cols>
    <col min="1" max="1" width="5" customWidth="1"/>
    <col min="2" max="2" width="60" customWidth="1"/>
    <col min="3" max="3" width="14" customWidth="1"/>
    <col min="4" max="4" width="18" customWidth="1"/>
    <col min="5" max="5" width="11" customWidth="1"/>
  </cols>
  <sheetData>
    <row r="1" spans="1:5" x14ac:dyDescent="0.2">
      <c r="A1" s="3" t="s">
        <v>20</v>
      </c>
      <c r="B1" s="3" t="s">
        <v>21</v>
      </c>
      <c r="C1" s="3" t="s">
        <v>22</v>
      </c>
      <c r="D1" s="3" t="s">
        <v>1000</v>
      </c>
      <c r="E1" s="3" t="s">
        <v>24</v>
      </c>
    </row>
    <row r="2" spans="1:5" x14ac:dyDescent="0.2">
      <c r="A2" s="4">
        <v>1</v>
      </c>
      <c r="B2" s="15" t="s">
        <v>1165</v>
      </c>
      <c r="C2" s="4" t="s">
        <v>197</v>
      </c>
      <c r="D2" s="4" t="s">
        <v>1055</v>
      </c>
      <c r="E2" s="6" t="s">
        <v>4</v>
      </c>
    </row>
    <row r="3" spans="1:5" x14ac:dyDescent="0.2">
      <c r="A3" s="4">
        <v>2</v>
      </c>
      <c r="B3" s="15" t="s">
        <v>1168</v>
      </c>
      <c r="C3" s="4" t="s">
        <v>60</v>
      </c>
      <c r="D3" s="4" t="s">
        <v>1055</v>
      </c>
      <c r="E3" s="6" t="s">
        <v>4</v>
      </c>
    </row>
    <row r="4" spans="1:5" x14ac:dyDescent="0.2">
      <c r="A4" s="4">
        <v>3</v>
      </c>
      <c r="B4" s="15" t="s">
        <v>1163</v>
      </c>
      <c r="C4" s="4" t="s">
        <v>58</v>
      </c>
      <c r="D4" s="4" t="s">
        <v>1164</v>
      </c>
      <c r="E4" s="5" t="s">
        <v>3</v>
      </c>
    </row>
    <row r="5" spans="1:5" x14ac:dyDescent="0.2">
      <c r="A5" s="4">
        <v>4</v>
      </c>
      <c r="B5" s="15" t="s">
        <v>1474</v>
      </c>
      <c r="C5" s="4" t="s">
        <v>58</v>
      </c>
      <c r="D5" s="4" t="s">
        <v>1055</v>
      </c>
      <c r="E5" s="7" t="s">
        <v>5</v>
      </c>
    </row>
    <row r="6" spans="1:5" x14ac:dyDescent="0.2">
      <c r="A6" s="4">
        <v>5</v>
      </c>
      <c r="B6" s="15" t="s">
        <v>1475</v>
      </c>
      <c r="C6" s="4" t="s">
        <v>60</v>
      </c>
      <c r="D6" s="4" t="s">
        <v>1476</v>
      </c>
      <c r="E6" s="7" t="s">
        <v>5</v>
      </c>
    </row>
    <row r="7" spans="1:5" x14ac:dyDescent="0.2">
      <c r="A7" s="4">
        <v>6</v>
      </c>
      <c r="B7" s="15" t="s">
        <v>1169</v>
      </c>
      <c r="C7" s="4" t="s">
        <v>29</v>
      </c>
      <c r="D7" s="4" t="s">
        <v>1055</v>
      </c>
      <c r="E7" s="6" t="s">
        <v>4</v>
      </c>
    </row>
    <row r="8" spans="1:5" x14ac:dyDescent="0.2">
      <c r="A8" s="4">
        <v>7</v>
      </c>
      <c r="B8" s="15" t="s">
        <v>1167</v>
      </c>
      <c r="C8" s="4" t="s">
        <v>40</v>
      </c>
      <c r="D8" s="4" t="s">
        <v>1055</v>
      </c>
      <c r="E8" s="6" t="s">
        <v>4</v>
      </c>
    </row>
    <row r="9" spans="1:5" x14ac:dyDescent="0.2">
      <c r="A9" s="4">
        <v>8</v>
      </c>
      <c r="B9" s="15" t="s">
        <v>1166</v>
      </c>
      <c r="C9" s="4" t="s">
        <v>112</v>
      </c>
      <c r="D9" s="4" t="s">
        <v>1055</v>
      </c>
      <c r="E9" s="6" t="s">
        <v>4</v>
      </c>
    </row>
    <row r="10" spans="1:5" x14ac:dyDescent="0.2">
      <c r="A10" s="4">
        <v>9</v>
      </c>
      <c r="B10" s="15" t="s">
        <v>1152</v>
      </c>
      <c r="C10" s="4" t="s">
        <v>40</v>
      </c>
      <c r="D10" s="4" t="s">
        <v>1060</v>
      </c>
      <c r="E10" s="6" t="s">
        <v>4</v>
      </c>
    </row>
    <row r="11" spans="1:5" x14ac:dyDescent="0.2">
      <c r="A11" s="4">
        <v>10</v>
      </c>
      <c r="B11" s="15" t="s">
        <v>1158</v>
      </c>
      <c r="C11" s="4" t="s">
        <v>40</v>
      </c>
      <c r="D11" s="4" t="s">
        <v>1154</v>
      </c>
      <c r="E11" s="6" t="s">
        <v>4</v>
      </c>
    </row>
    <row r="12" spans="1:5" x14ac:dyDescent="0.2">
      <c r="A12" s="4">
        <v>11</v>
      </c>
      <c r="B12" s="15" t="s">
        <v>1156</v>
      </c>
      <c r="C12" s="4" t="s">
        <v>40</v>
      </c>
      <c r="D12" s="4" t="s">
        <v>1157</v>
      </c>
      <c r="E12" s="6" t="s">
        <v>4</v>
      </c>
    </row>
    <row r="13" spans="1:5" x14ac:dyDescent="0.2">
      <c r="A13" s="4">
        <v>12</v>
      </c>
      <c r="B13" s="15" t="s">
        <v>1155</v>
      </c>
      <c r="C13" s="4" t="s">
        <v>40</v>
      </c>
      <c r="D13" s="4" t="s">
        <v>1154</v>
      </c>
      <c r="E13" s="6" t="s">
        <v>4</v>
      </c>
    </row>
    <row r="14" spans="1:5" x14ac:dyDescent="0.2">
      <c r="A14" s="4">
        <v>13</v>
      </c>
      <c r="B14" s="15" t="s">
        <v>1153</v>
      </c>
      <c r="C14" s="4" t="s">
        <v>40</v>
      </c>
      <c r="D14" s="4" t="s">
        <v>1154</v>
      </c>
      <c r="E14" s="6" t="s">
        <v>4</v>
      </c>
    </row>
    <row r="15" spans="1:5" x14ac:dyDescent="0.2">
      <c r="A15" s="4">
        <v>14</v>
      </c>
      <c r="B15" s="15" t="s">
        <v>1162</v>
      </c>
      <c r="C15" s="4" t="s">
        <v>40</v>
      </c>
      <c r="D15" s="4" t="s">
        <v>1053</v>
      </c>
      <c r="E15" s="6" t="s">
        <v>4</v>
      </c>
    </row>
    <row r="16" spans="1:5" x14ac:dyDescent="0.2">
      <c r="A16" s="4">
        <v>15</v>
      </c>
      <c r="B16" s="15" t="s">
        <v>1161</v>
      </c>
      <c r="C16" s="4" t="s">
        <v>40</v>
      </c>
      <c r="D16" s="4" t="s">
        <v>1101</v>
      </c>
      <c r="E16" s="6" t="s">
        <v>4</v>
      </c>
    </row>
    <row r="17" spans="1:5" x14ac:dyDescent="0.2">
      <c r="A17" s="4">
        <v>16</v>
      </c>
      <c r="B17" s="15" t="s">
        <v>1160</v>
      </c>
      <c r="C17" s="4" t="s">
        <v>40</v>
      </c>
      <c r="D17" s="4" t="s">
        <v>1053</v>
      </c>
      <c r="E17" s="6" t="s">
        <v>4</v>
      </c>
    </row>
    <row r="18" spans="1:5" x14ac:dyDescent="0.2">
      <c r="A18" s="4">
        <v>17</v>
      </c>
      <c r="B18" s="15" t="s">
        <v>1159</v>
      </c>
      <c r="C18" s="4" t="s">
        <v>40</v>
      </c>
      <c r="D18" s="4" t="s">
        <v>1053</v>
      </c>
      <c r="E18" s="7" t="s">
        <v>5</v>
      </c>
    </row>
    <row r="19" spans="1:5" x14ac:dyDescent="0.2">
      <c r="A19" s="4">
        <v>18</v>
      </c>
      <c r="B19" s="15" t="s">
        <v>1477</v>
      </c>
      <c r="C19" s="4" t="s">
        <v>226</v>
      </c>
      <c r="D19" s="4" t="s">
        <v>1009</v>
      </c>
      <c r="E19" s="5" t="s">
        <v>3</v>
      </c>
    </row>
    <row r="20" spans="1:5" x14ac:dyDescent="0.2">
      <c r="A20" s="4">
        <v>19</v>
      </c>
      <c r="B20" s="15" t="s">
        <v>1052</v>
      </c>
      <c r="C20" s="4" t="s">
        <v>29</v>
      </c>
      <c r="D20" s="4" t="s">
        <v>1053</v>
      </c>
      <c r="E20" s="5" t="s">
        <v>3</v>
      </c>
    </row>
    <row r="21" spans="1:5" x14ac:dyDescent="0.2">
      <c r="A21" s="4">
        <v>20</v>
      </c>
      <c r="B21" s="15" t="s">
        <v>1478</v>
      </c>
      <c r="C21" s="4" t="s">
        <v>179</v>
      </c>
      <c r="D21" s="4" t="s">
        <v>1009</v>
      </c>
      <c r="E21" s="5" t="s">
        <v>3</v>
      </c>
    </row>
    <row r="22" spans="1:5" x14ac:dyDescent="0.2">
      <c r="A22" s="4">
        <v>21</v>
      </c>
      <c r="B22" s="15" t="s">
        <v>1479</v>
      </c>
      <c r="C22" s="4" t="s">
        <v>283</v>
      </c>
      <c r="D22" s="4" t="s">
        <v>1009</v>
      </c>
      <c r="E22" s="5" t="s">
        <v>3</v>
      </c>
    </row>
    <row r="23" spans="1:5" x14ac:dyDescent="0.2">
      <c r="A23" s="4">
        <v>22</v>
      </c>
      <c r="B23" s="15" t="s">
        <v>1480</v>
      </c>
      <c r="C23" s="4" t="s">
        <v>118</v>
      </c>
      <c r="D23" s="4" t="s">
        <v>1009</v>
      </c>
      <c r="E23" s="5" t="s">
        <v>3</v>
      </c>
    </row>
    <row r="24" spans="1:5" x14ac:dyDescent="0.2">
      <c r="A24" s="4">
        <v>23</v>
      </c>
      <c r="B24" s="15" t="s">
        <v>1481</v>
      </c>
      <c r="C24" s="4" t="s">
        <v>64</v>
      </c>
      <c r="D24" s="4" t="s">
        <v>1009</v>
      </c>
      <c r="E24" s="5" t="s">
        <v>3</v>
      </c>
    </row>
    <row r="25" spans="1:5" x14ac:dyDescent="0.2">
      <c r="A25" s="4">
        <v>24</v>
      </c>
      <c r="B25" s="15" t="s">
        <v>1054</v>
      </c>
      <c r="C25" s="4" t="s">
        <v>64</v>
      </c>
      <c r="D25" s="4" t="s">
        <v>1055</v>
      </c>
      <c r="E25" s="5" t="s">
        <v>3</v>
      </c>
    </row>
    <row r="26" spans="1:5" x14ac:dyDescent="0.2">
      <c r="A26" s="4">
        <v>25</v>
      </c>
      <c r="B26" s="15" t="s">
        <v>1482</v>
      </c>
      <c r="C26" s="4" t="s">
        <v>218</v>
      </c>
      <c r="D26" s="4" t="s">
        <v>1009</v>
      </c>
      <c r="E26" s="5" t="s">
        <v>3</v>
      </c>
    </row>
    <row r="27" spans="1:5" x14ac:dyDescent="0.2">
      <c r="A27" s="4">
        <v>26</v>
      </c>
      <c r="B27" s="15" t="s">
        <v>1483</v>
      </c>
      <c r="C27" s="4" t="s">
        <v>332</v>
      </c>
      <c r="D27" s="4" t="s">
        <v>1009</v>
      </c>
      <c r="E27" s="5" t="s">
        <v>3</v>
      </c>
    </row>
    <row r="28" spans="1:5" x14ac:dyDescent="0.2">
      <c r="A28" s="4">
        <v>27</v>
      </c>
      <c r="B28" s="15" t="s">
        <v>1484</v>
      </c>
      <c r="C28" s="4" t="s">
        <v>43</v>
      </c>
      <c r="D28" s="4" t="s">
        <v>1009</v>
      </c>
      <c r="E28" s="5" t="s">
        <v>3</v>
      </c>
    </row>
    <row r="29" spans="1:5" x14ac:dyDescent="0.2">
      <c r="A29" s="4">
        <v>28</v>
      </c>
      <c r="B29" s="15" t="s">
        <v>1485</v>
      </c>
      <c r="C29" s="4" t="s">
        <v>207</v>
      </c>
      <c r="D29" s="4" t="s">
        <v>1009</v>
      </c>
      <c r="E29" s="5" t="s">
        <v>3</v>
      </c>
    </row>
    <row r="30" spans="1:5" x14ac:dyDescent="0.2">
      <c r="A30" s="4">
        <v>29</v>
      </c>
      <c r="B30" s="15" t="s">
        <v>1486</v>
      </c>
      <c r="C30" s="4" t="s">
        <v>1487</v>
      </c>
      <c r="D30" s="4" t="s">
        <v>1009</v>
      </c>
      <c r="E30" s="5" t="s">
        <v>3</v>
      </c>
    </row>
    <row r="31" spans="1:5" x14ac:dyDescent="0.2">
      <c r="A31" s="4">
        <v>30</v>
      </c>
      <c r="B31" s="15" t="s">
        <v>1488</v>
      </c>
      <c r="C31" s="4" t="s">
        <v>118</v>
      </c>
      <c r="D31" s="4" t="s">
        <v>1009</v>
      </c>
      <c r="E31" s="5" t="s">
        <v>3</v>
      </c>
    </row>
    <row r="32" spans="1:5" x14ac:dyDescent="0.2">
      <c r="A32" s="4">
        <v>31</v>
      </c>
      <c r="B32" s="15" t="s">
        <v>1056</v>
      </c>
      <c r="C32" s="4" t="s">
        <v>68</v>
      </c>
      <c r="D32" s="4" t="s">
        <v>1053</v>
      </c>
      <c r="E32" s="5" t="s">
        <v>3</v>
      </c>
    </row>
    <row r="33" spans="1:5" x14ac:dyDescent="0.2">
      <c r="A33" s="4">
        <v>32</v>
      </c>
      <c r="B33" s="15" t="s">
        <v>1071</v>
      </c>
      <c r="C33" s="4" t="s">
        <v>181</v>
      </c>
      <c r="D33" s="4" t="s">
        <v>1053</v>
      </c>
      <c r="E33" s="6" t="s">
        <v>4</v>
      </c>
    </row>
    <row r="34" spans="1:5" x14ac:dyDescent="0.2">
      <c r="A34" s="4">
        <v>33</v>
      </c>
      <c r="B34" s="15" t="s">
        <v>1489</v>
      </c>
      <c r="C34" s="4" t="s">
        <v>85</v>
      </c>
      <c r="D34" s="4" t="s">
        <v>1009</v>
      </c>
      <c r="E34" s="5" t="s">
        <v>3</v>
      </c>
    </row>
    <row r="35" spans="1:5" x14ac:dyDescent="0.2">
      <c r="A35" s="4">
        <v>34</v>
      </c>
      <c r="B35" s="15" t="s">
        <v>1490</v>
      </c>
      <c r="C35" s="4" t="s">
        <v>150</v>
      </c>
      <c r="D35" s="4" t="s">
        <v>1009</v>
      </c>
      <c r="E35" s="5" t="s">
        <v>3</v>
      </c>
    </row>
    <row r="36" spans="1:5" x14ac:dyDescent="0.2">
      <c r="A36" s="4">
        <v>35</v>
      </c>
      <c r="B36" s="15" t="s">
        <v>1491</v>
      </c>
      <c r="C36" s="4" t="s">
        <v>10</v>
      </c>
      <c r="D36" s="4" t="s">
        <v>1009</v>
      </c>
      <c r="E36" s="5" t="s">
        <v>3</v>
      </c>
    </row>
    <row r="37" spans="1:5" x14ac:dyDescent="0.2">
      <c r="A37" s="4">
        <v>36</v>
      </c>
      <c r="B37" s="15" t="s">
        <v>1492</v>
      </c>
      <c r="C37" s="4" t="s">
        <v>187</v>
      </c>
      <c r="D37" s="4" t="s">
        <v>1009</v>
      </c>
      <c r="E37" s="5" t="s">
        <v>3</v>
      </c>
    </row>
    <row r="38" spans="1:5" x14ac:dyDescent="0.2">
      <c r="A38" s="4">
        <v>37</v>
      </c>
      <c r="B38" s="15" t="s">
        <v>1072</v>
      </c>
      <c r="C38" s="4" t="s">
        <v>68</v>
      </c>
      <c r="D38" s="4" t="s">
        <v>1053</v>
      </c>
      <c r="E38" s="6" t="s">
        <v>4</v>
      </c>
    </row>
    <row r="39" spans="1:5" x14ac:dyDescent="0.2">
      <c r="A39" s="4">
        <v>38</v>
      </c>
      <c r="B39" s="15" t="s">
        <v>1073</v>
      </c>
      <c r="C39" s="4" t="s">
        <v>48</v>
      </c>
      <c r="D39" s="4" t="s">
        <v>1053</v>
      </c>
      <c r="E39" s="6" t="s">
        <v>4</v>
      </c>
    </row>
    <row r="40" spans="1:5" x14ac:dyDescent="0.2">
      <c r="A40" s="4">
        <v>39</v>
      </c>
      <c r="B40" s="15" t="s">
        <v>1493</v>
      </c>
      <c r="C40" s="4" t="s">
        <v>43</v>
      </c>
      <c r="D40" s="4" t="s">
        <v>1053</v>
      </c>
      <c r="E40" s="6" t="s">
        <v>4</v>
      </c>
    </row>
    <row r="41" spans="1:5" x14ac:dyDescent="0.2">
      <c r="A41" s="4">
        <v>40</v>
      </c>
      <c r="B41" s="15" t="s">
        <v>1074</v>
      </c>
      <c r="C41" s="4" t="s">
        <v>121</v>
      </c>
      <c r="D41" s="4" t="s">
        <v>1053</v>
      </c>
      <c r="E41" s="6" t="s">
        <v>4</v>
      </c>
    </row>
    <row r="42" spans="1:5" x14ac:dyDescent="0.2">
      <c r="A42" s="4">
        <v>41</v>
      </c>
      <c r="B42" s="15" t="s">
        <v>1057</v>
      </c>
      <c r="C42" s="4" t="s">
        <v>1494</v>
      </c>
      <c r="D42" s="4" t="s">
        <v>1058</v>
      </c>
      <c r="E42" s="5" t="s">
        <v>3</v>
      </c>
    </row>
    <row r="43" spans="1:5" x14ac:dyDescent="0.2">
      <c r="A43" s="4">
        <v>42</v>
      </c>
      <c r="B43" s="15" t="s">
        <v>1075</v>
      </c>
      <c r="C43" s="4" t="s">
        <v>283</v>
      </c>
      <c r="D43" s="4" t="s">
        <v>1053</v>
      </c>
      <c r="E43" s="6" t="s">
        <v>4</v>
      </c>
    </row>
    <row r="44" spans="1:5" x14ac:dyDescent="0.2">
      <c r="A44" s="4">
        <v>43</v>
      </c>
      <c r="B44" s="15" t="s">
        <v>1076</v>
      </c>
      <c r="C44" s="4" t="s">
        <v>98</v>
      </c>
      <c r="D44" s="4" t="s">
        <v>1053</v>
      </c>
      <c r="E44" s="6" t="s">
        <v>4</v>
      </c>
    </row>
    <row r="45" spans="1:5" x14ac:dyDescent="0.2">
      <c r="A45" s="4">
        <v>44</v>
      </c>
      <c r="B45" s="15" t="s">
        <v>1077</v>
      </c>
      <c r="C45" s="4" t="s">
        <v>58</v>
      </c>
      <c r="D45" s="4" t="s">
        <v>1053</v>
      </c>
      <c r="E45" s="6" t="s">
        <v>4</v>
      </c>
    </row>
    <row r="46" spans="1:5" x14ac:dyDescent="0.2">
      <c r="A46" s="4">
        <v>45</v>
      </c>
      <c r="B46" s="15" t="s">
        <v>1495</v>
      </c>
      <c r="C46" s="4" t="s">
        <v>271</v>
      </c>
      <c r="D46" s="4" t="s">
        <v>1053</v>
      </c>
      <c r="E46" s="7" t="s">
        <v>5</v>
      </c>
    </row>
    <row r="47" spans="1:5" x14ac:dyDescent="0.2">
      <c r="A47" s="4">
        <v>46</v>
      </c>
      <c r="B47" s="15" t="s">
        <v>1496</v>
      </c>
      <c r="C47" s="4" t="s">
        <v>79</v>
      </c>
      <c r="D47" s="4" t="s">
        <v>1053</v>
      </c>
      <c r="E47" s="5" t="s">
        <v>3</v>
      </c>
    </row>
    <row r="48" spans="1:5" x14ac:dyDescent="0.2">
      <c r="A48" s="4">
        <v>47</v>
      </c>
      <c r="B48" s="15" t="s">
        <v>1078</v>
      </c>
      <c r="C48" s="4" t="s">
        <v>332</v>
      </c>
      <c r="D48" s="4" t="s">
        <v>1055</v>
      </c>
      <c r="E48" s="6" t="s">
        <v>4</v>
      </c>
    </row>
    <row r="49" spans="1:5" x14ac:dyDescent="0.2">
      <c r="A49" s="4">
        <v>48</v>
      </c>
      <c r="B49" s="15" t="s">
        <v>1079</v>
      </c>
      <c r="C49" s="4" t="s">
        <v>226</v>
      </c>
      <c r="D49" s="4" t="s">
        <v>1055</v>
      </c>
      <c r="E49" s="6" t="s">
        <v>4</v>
      </c>
    </row>
    <row r="50" spans="1:5" x14ac:dyDescent="0.2">
      <c r="A50" s="4">
        <v>49</v>
      </c>
      <c r="B50" s="15" t="s">
        <v>1497</v>
      </c>
      <c r="C50" s="4" t="s">
        <v>98</v>
      </c>
      <c r="D50" s="4" t="s">
        <v>1009</v>
      </c>
      <c r="E50" s="5" t="s">
        <v>3</v>
      </c>
    </row>
    <row r="51" spans="1:5" x14ac:dyDescent="0.2">
      <c r="A51" s="4">
        <v>50</v>
      </c>
      <c r="B51" s="15" t="s">
        <v>1498</v>
      </c>
      <c r="C51" s="4" t="s">
        <v>207</v>
      </c>
      <c r="D51" s="4" t="s">
        <v>1009</v>
      </c>
      <c r="E51" s="5" t="s">
        <v>3</v>
      </c>
    </row>
    <row r="52" spans="1:5" x14ac:dyDescent="0.2">
      <c r="A52" s="4">
        <v>51</v>
      </c>
      <c r="B52" s="15" t="s">
        <v>203</v>
      </c>
      <c r="C52" s="4" t="s">
        <v>204</v>
      </c>
      <c r="D52" s="4" t="s">
        <v>1009</v>
      </c>
      <c r="E52" s="5" t="s">
        <v>3</v>
      </c>
    </row>
    <row r="53" spans="1:5" x14ac:dyDescent="0.2">
      <c r="A53" s="4">
        <v>52</v>
      </c>
      <c r="B53" s="15" t="s">
        <v>1499</v>
      </c>
      <c r="C53" s="4" t="s">
        <v>48</v>
      </c>
      <c r="D53" s="4" t="s">
        <v>1009</v>
      </c>
      <c r="E53" s="5" t="s">
        <v>3</v>
      </c>
    </row>
    <row r="54" spans="1:5" x14ac:dyDescent="0.2">
      <c r="A54" s="4">
        <v>53</v>
      </c>
      <c r="B54" s="15" t="s">
        <v>1500</v>
      </c>
      <c r="C54" s="4" t="s">
        <v>100</v>
      </c>
      <c r="D54" s="4" t="s">
        <v>1009</v>
      </c>
      <c r="E54" s="6" t="s">
        <v>4</v>
      </c>
    </row>
    <row r="55" spans="1:5" x14ac:dyDescent="0.2">
      <c r="A55" s="4">
        <v>54</v>
      </c>
      <c r="B55" s="15" t="s">
        <v>1501</v>
      </c>
      <c r="C55" s="4" t="s">
        <v>368</v>
      </c>
      <c r="D55" s="4" t="s">
        <v>1009</v>
      </c>
      <c r="E55" s="6" t="s">
        <v>4</v>
      </c>
    </row>
    <row r="56" spans="1:5" x14ac:dyDescent="0.2">
      <c r="A56" s="4">
        <v>55</v>
      </c>
      <c r="B56" s="15" t="s">
        <v>1502</v>
      </c>
      <c r="C56" s="4" t="s">
        <v>58</v>
      </c>
      <c r="D56" s="4" t="s">
        <v>1009</v>
      </c>
      <c r="E56" s="6" t="s">
        <v>4</v>
      </c>
    </row>
    <row r="57" spans="1:5" x14ac:dyDescent="0.2">
      <c r="A57" s="4">
        <v>56</v>
      </c>
      <c r="B57" s="15" t="s">
        <v>1503</v>
      </c>
      <c r="C57" s="4" t="s">
        <v>40</v>
      </c>
      <c r="D57" s="4" t="s">
        <v>1009</v>
      </c>
      <c r="E57" s="6" t="s">
        <v>4</v>
      </c>
    </row>
    <row r="58" spans="1:5" x14ac:dyDescent="0.2">
      <c r="A58" s="4">
        <v>57</v>
      </c>
      <c r="B58" s="15" t="s">
        <v>331</v>
      </c>
      <c r="C58" s="4" t="s">
        <v>332</v>
      </c>
      <c r="D58" s="4" t="s">
        <v>1009</v>
      </c>
      <c r="E58" s="6" t="s">
        <v>4</v>
      </c>
    </row>
    <row r="59" spans="1:5" x14ac:dyDescent="0.2">
      <c r="A59" s="4">
        <v>58</v>
      </c>
      <c r="B59" s="15" t="s">
        <v>1080</v>
      </c>
      <c r="C59" s="4" t="s">
        <v>207</v>
      </c>
      <c r="D59" s="4" t="s">
        <v>1055</v>
      </c>
      <c r="E59" s="6" t="s">
        <v>4</v>
      </c>
    </row>
    <row r="60" spans="1:5" x14ac:dyDescent="0.2">
      <c r="A60" s="4">
        <v>59</v>
      </c>
      <c r="B60" s="15" t="s">
        <v>1504</v>
      </c>
      <c r="C60" s="4" t="s">
        <v>29</v>
      </c>
      <c r="D60" s="4" t="s">
        <v>1108</v>
      </c>
      <c r="E60" s="7" t="s">
        <v>5</v>
      </c>
    </row>
    <row r="61" spans="1:5" x14ac:dyDescent="0.2">
      <c r="A61" s="4">
        <v>60</v>
      </c>
      <c r="B61" s="15" t="s">
        <v>1505</v>
      </c>
      <c r="C61" s="4" t="s">
        <v>87</v>
      </c>
      <c r="D61" s="4" t="s">
        <v>1053</v>
      </c>
      <c r="E61" s="7" t="s">
        <v>5</v>
      </c>
    </row>
    <row r="62" spans="1:5" x14ac:dyDescent="0.2">
      <c r="A62" s="4">
        <v>61</v>
      </c>
      <c r="B62" s="15" t="s">
        <v>1059</v>
      </c>
      <c r="C62" s="4" t="s">
        <v>231</v>
      </c>
      <c r="D62" s="4" t="s">
        <v>1060</v>
      </c>
      <c r="E62" s="5" t="s">
        <v>3</v>
      </c>
    </row>
    <row r="63" spans="1:5" x14ac:dyDescent="0.2">
      <c r="A63" s="4">
        <v>62</v>
      </c>
      <c r="B63" s="15" t="s">
        <v>1506</v>
      </c>
      <c r="C63" s="4" t="s">
        <v>405</v>
      </c>
      <c r="D63" s="4" t="s">
        <v>1009</v>
      </c>
      <c r="E63" s="6" t="s">
        <v>4</v>
      </c>
    </row>
    <row r="64" spans="1:5" x14ac:dyDescent="0.2">
      <c r="A64" s="4">
        <v>63</v>
      </c>
      <c r="B64" s="15" t="s">
        <v>1151</v>
      </c>
      <c r="C64" s="4" t="s">
        <v>40</v>
      </c>
      <c r="D64" s="4" t="s">
        <v>1060</v>
      </c>
      <c r="E64" s="6" t="s">
        <v>4</v>
      </c>
    </row>
    <row r="65" spans="1:5" x14ac:dyDescent="0.2">
      <c r="A65" s="4">
        <v>64</v>
      </c>
      <c r="B65" s="15" t="s">
        <v>1081</v>
      </c>
      <c r="C65" s="4" t="s">
        <v>204</v>
      </c>
      <c r="D65" s="4" t="s">
        <v>1053</v>
      </c>
      <c r="E65" s="6" t="s">
        <v>4</v>
      </c>
    </row>
    <row r="66" spans="1:5" x14ac:dyDescent="0.2">
      <c r="A66" s="4">
        <v>65</v>
      </c>
      <c r="B66" s="15" t="s">
        <v>1082</v>
      </c>
      <c r="C66" s="4" t="s">
        <v>38</v>
      </c>
      <c r="D66" s="4" t="s">
        <v>1053</v>
      </c>
      <c r="E66" s="6" t="s">
        <v>4</v>
      </c>
    </row>
    <row r="67" spans="1:5" x14ac:dyDescent="0.2">
      <c r="A67" s="4">
        <v>66</v>
      </c>
      <c r="B67" s="15" t="s">
        <v>1507</v>
      </c>
      <c r="C67" s="4" t="s">
        <v>160</v>
      </c>
      <c r="D67" s="4" t="s">
        <v>1053</v>
      </c>
      <c r="E67" s="7" t="s">
        <v>5</v>
      </c>
    </row>
    <row r="68" spans="1:5" x14ac:dyDescent="0.2">
      <c r="A68" s="4">
        <v>67</v>
      </c>
      <c r="B68" s="15" t="s">
        <v>1508</v>
      </c>
      <c r="C68" s="4" t="s">
        <v>197</v>
      </c>
      <c r="D68" s="4" t="s">
        <v>1009</v>
      </c>
      <c r="E68" s="6" t="s">
        <v>4</v>
      </c>
    </row>
    <row r="69" spans="1:5" x14ac:dyDescent="0.2">
      <c r="A69" s="4">
        <v>68</v>
      </c>
      <c r="B69" s="15" t="s">
        <v>1061</v>
      </c>
      <c r="C69" s="4" t="s">
        <v>204</v>
      </c>
      <c r="D69" s="4" t="s">
        <v>1053</v>
      </c>
      <c r="E69" s="5" t="s">
        <v>3</v>
      </c>
    </row>
    <row r="70" spans="1:5" x14ac:dyDescent="0.2">
      <c r="A70" s="4">
        <v>69</v>
      </c>
      <c r="B70" s="15" t="s">
        <v>1083</v>
      </c>
      <c r="C70" s="4" t="s">
        <v>98</v>
      </c>
      <c r="D70" s="4" t="s">
        <v>1053</v>
      </c>
      <c r="E70" s="6" t="s">
        <v>4</v>
      </c>
    </row>
    <row r="71" spans="1:5" x14ac:dyDescent="0.2">
      <c r="A71" s="4">
        <v>70</v>
      </c>
      <c r="B71" s="15" t="s">
        <v>1084</v>
      </c>
      <c r="C71" s="4" t="s">
        <v>121</v>
      </c>
      <c r="D71" s="4" t="s">
        <v>1053</v>
      </c>
      <c r="E71" s="6" t="s">
        <v>4</v>
      </c>
    </row>
    <row r="72" spans="1:5" x14ac:dyDescent="0.2">
      <c r="A72" s="4">
        <v>71</v>
      </c>
      <c r="B72" s="15" t="s">
        <v>1085</v>
      </c>
      <c r="C72" s="4" t="s">
        <v>43</v>
      </c>
      <c r="D72" s="4" t="s">
        <v>1086</v>
      </c>
      <c r="E72" s="6" t="s">
        <v>4</v>
      </c>
    </row>
    <row r="73" spans="1:5" x14ac:dyDescent="0.2">
      <c r="A73" s="4">
        <v>72</v>
      </c>
      <c r="B73" s="15" t="s">
        <v>1509</v>
      </c>
      <c r="C73" s="4" t="s">
        <v>327</v>
      </c>
      <c r="D73" s="4" t="s">
        <v>1009</v>
      </c>
      <c r="E73" s="5" t="s">
        <v>3</v>
      </c>
    </row>
    <row r="74" spans="1:5" x14ac:dyDescent="0.2">
      <c r="A74" s="4">
        <v>73</v>
      </c>
      <c r="B74" s="15" t="s">
        <v>1087</v>
      </c>
      <c r="C74" s="4" t="s">
        <v>64</v>
      </c>
      <c r="D74" s="4" t="s">
        <v>1053</v>
      </c>
      <c r="E74" s="6" t="s">
        <v>4</v>
      </c>
    </row>
    <row r="75" spans="1:5" x14ac:dyDescent="0.2">
      <c r="A75" s="4">
        <v>74</v>
      </c>
      <c r="B75" s="15" t="s">
        <v>1510</v>
      </c>
      <c r="C75" s="4" t="s">
        <v>58</v>
      </c>
      <c r="D75" s="4" t="s">
        <v>1009</v>
      </c>
      <c r="E75" s="6" t="s">
        <v>4</v>
      </c>
    </row>
    <row r="76" spans="1:5" x14ac:dyDescent="0.2">
      <c r="A76" s="4">
        <v>75</v>
      </c>
      <c r="B76" s="15" t="s">
        <v>1511</v>
      </c>
      <c r="C76" s="4" t="s">
        <v>345</v>
      </c>
      <c r="D76" s="4" t="s">
        <v>1009</v>
      </c>
      <c r="E76" s="5" t="s">
        <v>3</v>
      </c>
    </row>
    <row r="77" spans="1:5" ht="28" x14ac:dyDescent="0.2">
      <c r="A77" s="4">
        <v>76</v>
      </c>
      <c r="B77" s="15" t="s">
        <v>1512</v>
      </c>
      <c r="C77" s="4" t="s">
        <v>72</v>
      </c>
      <c r="D77" s="4" t="s">
        <v>1009</v>
      </c>
      <c r="E77" s="6" t="s">
        <v>4</v>
      </c>
    </row>
    <row r="78" spans="1:5" x14ac:dyDescent="0.2">
      <c r="A78" s="4">
        <v>77</v>
      </c>
      <c r="B78" s="15" t="s">
        <v>1513</v>
      </c>
      <c r="C78" s="4" t="s">
        <v>60</v>
      </c>
      <c r="D78" s="4" t="s">
        <v>1009</v>
      </c>
      <c r="E78" s="6" t="s">
        <v>4</v>
      </c>
    </row>
    <row r="79" spans="1:5" x14ac:dyDescent="0.2">
      <c r="A79" s="4">
        <v>78</v>
      </c>
      <c r="B79" s="15" t="s">
        <v>1514</v>
      </c>
      <c r="C79" s="4" t="s">
        <v>51</v>
      </c>
      <c r="D79" s="4" t="s">
        <v>1009</v>
      </c>
      <c r="E79" s="6" t="s">
        <v>4</v>
      </c>
    </row>
    <row r="80" spans="1:5" x14ac:dyDescent="0.2">
      <c r="A80" s="4">
        <v>79</v>
      </c>
      <c r="B80" s="15" t="s">
        <v>1150</v>
      </c>
      <c r="C80" s="4" t="s">
        <v>40</v>
      </c>
      <c r="D80" s="4" t="s">
        <v>1063</v>
      </c>
      <c r="E80" s="5" t="s">
        <v>3</v>
      </c>
    </row>
    <row r="81" spans="1:5" x14ac:dyDescent="0.2">
      <c r="A81" s="4">
        <v>80</v>
      </c>
      <c r="B81" s="15" t="s">
        <v>1515</v>
      </c>
      <c r="C81" s="4" t="s">
        <v>79</v>
      </c>
      <c r="D81" s="4" t="s">
        <v>1009</v>
      </c>
      <c r="E81" s="6" t="s">
        <v>4</v>
      </c>
    </row>
    <row r="82" spans="1:5" x14ac:dyDescent="0.2">
      <c r="A82" s="4">
        <v>81</v>
      </c>
      <c r="B82" s="15" t="s">
        <v>1062</v>
      </c>
      <c r="C82" s="4" t="s">
        <v>98</v>
      </c>
      <c r="D82" s="4" t="s">
        <v>1063</v>
      </c>
      <c r="E82" s="5" t="s">
        <v>3</v>
      </c>
    </row>
    <row r="83" spans="1:5" x14ac:dyDescent="0.2">
      <c r="A83" s="4">
        <v>82</v>
      </c>
      <c r="B83" s="15" t="s">
        <v>1147</v>
      </c>
      <c r="C83" s="4" t="s">
        <v>40</v>
      </c>
      <c r="D83" s="4" t="s">
        <v>1063</v>
      </c>
      <c r="E83" s="5" t="s">
        <v>3</v>
      </c>
    </row>
    <row r="84" spans="1:5" x14ac:dyDescent="0.2">
      <c r="A84" s="4">
        <v>83</v>
      </c>
      <c r="B84" s="15" t="s">
        <v>1064</v>
      </c>
      <c r="C84" s="4" t="s">
        <v>187</v>
      </c>
      <c r="D84" s="4" t="s">
        <v>1065</v>
      </c>
      <c r="E84" s="5" t="s">
        <v>3</v>
      </c>
    </row>
    <row r="85" spans="1:5" x14ac:dyDescent="0.2">
      <c r="A85" s="4">
        <v>84</v>
      </c>
      <c r="B85" s="15" t="s">
        <v>1516</v>
      </c>
      <c r="C85" s="4" t="s">
        <v>43</v>
      </c>
      <c r="D85" s="4" t="s">
        <v>1476</v>
      </c>
      <c r="E85" s="5" t="s">
        <v>3</v>
      </c>
    </row>
    <row r="86" spans="1:5" x14ac:dyDescent="0.2">
      <c r="A86" s="4">
        <v>85</v>
      </c>
      <c r="B86" s="15" t="s">
        <v>1517</v>
      </c>
      <c r="C86" s="4" t="s">
        <v>90</v>
      </c>
      <c r="D86" s="4" t="s">
        <v>1086</v>
      </c>
      <c r="E86" s="5" t="s">
        <v>3</v>
      </c>
    </row>
    <row r="87" spans="1:5" x14ac:dyDescent="0.2">
      <c r="A87" s="4">
        <v>86</v>
      </c>
      <c r="B87" s="15" t="s">
        <v>1518</v>
      </c>
      <c r="C87" s="4" t="s">
        <v>87</v>
      </c>
      <c r="D87" s="4" t="s">
        <v>1086</v>
      </c>
      <c r="E87" s="5" t="s">
        <v>3</v>
      </c>
    </row>
    <row r="88" spans="1:5" x14ac:dyDescent="0.2">
      <c r="A88" s="4">
        <v>87</v>
      </c>
      <c r="B88" s="15" t="s">
        <v>1519</v>
      </c>
      <c r="C88" s="4" t="s">
        <v>60</v>
      </c>
      <c r="D88" s="4" t="s">
        <v>1086</v>
      </c>
      <c r="E88" s="5" t="s">
        <v>3</v>
      </c>
    </row>
    <row r="89" spans="1:5" x14ac:dyDescent="0.2">
      <c r="A89" s="4">
        <v>88</v>
      </c>
      <c r="B89" s="15" t="s">
        <v>1520</v>
      </c>
      <c r="C89" s="4" t="s">
        <v>354</v>
      </c>
      <c r="D89" s="4" t="s">
        <v>1086</v>
      </c>
      <c r="E89" s="5" t="s">
        <v>3</v>
      </c>
    </row>
    <row r="90" spans="1:5" x14ac:dyDescent="0.2">
      <c r="A90" s="4">
        <v>89</v>
      </c>
      <c r="B90" s="15" t="s">
        <v>1521</v>
      </c>
      <c r="C90" s="4" t="s">
        <v>112</v>
      </c>
      <c r="D90" s="4" t="s">
        <v>1086</v>
      </c>
      <c r="E90" s="5" t="s">
        <v>3</v>
      </c>
    </row>
    <row r="91" spans="1:5" x14ac:dyDescent="0.2">
      <c r="A91" s="4">
        <v>90</v>
      </c>
      <c r="B91" s="15" t="s">
        <v>1522</v>
      </c>
      <c r="C91" s="4" t="s">
        <v>179</v>
      </c>
      <c r="D91" s="4" t="s">
        <v>1086</v>
      </c>
      <c r="E91" s="6" t="s">
        <v>4</v>
      </c>
    </row>
    <row r="92" spans="1:5" x14ac:dyDescent="0.2">
      <c r="A92" s="4">
        <v>91</v>
      </c>
      <c r="B92" s="15" t="s">
        <v>1523</v>
      </c>
      <c r="C92" s="4" t="s">
        <v>327</v>
      </c>
      <c r="D92" s="4" t="s">
        <v>1053</v>
      </c>
      <c r="E92" s="6" t="s">
        <v>4</v>
      </c>
    </row>
    <row r="93" spans="1:5" x14ac:dyDescent="0.2">
      <c r="A93" s="4">
        <v>92</v>
      </c>
      <c r="B93" s="15" t="s">
        <v>1524</v>
      </c>
      <c r="C93" s="4" t="s">
        <v>150</v>
      </c>
      <c r="D93" s="4" t="s">
        <v>1086</v>
      </c>
      <c r="E93" s="5" t="s">
        <v>3</v>
      </c>
    </row>
    <row r="94" spans="1:5" x14ac:dyDescent="0.2">
      <c r="A94" s="4">
        <v>93</v>
      </c>
      <c r="B94" s="15" t="s">
        <v>1525</v>
      </c>
      <c r="C94" s="4" t="s">
        <v>48</v>
      </c>
      <c r="D94" s="4" t="s">
        <v>1086</v>
      </c>
      <c r="E94" s="6" t="s">
        <v>4</v>
      </c>
    </row>
    <row r="95" spans="1:5" x14ac:dyDescent="0.2">
      <c r="A95" s="4">
        <v>94</v>
      </c>
      <c r="B95" s="15" t="s">
        <v>1526</v>
      </c>
      <c r="C95" s="4" t="s">
        <v>207</v>
      </c>
      <c r="D95" s="4" t="s">
        <v>1009</v>
      </c>
      <c r="E95" s="5" t="s">
        <v>3</v>
      </c>
    </row>
    <row r="96" spans="1:5" x14ac:dyDescent="0.2">
      <c r="A96" s="4">
        <v>95</v>
      </c>
      <c r="B96" s="15" t="s">
        <v>1527</v>
      </c>
      <c r="C96" s="4" t="s">
        <v>131</v>
      </c>
      <c r="D96" s="4" t="s">
        <v>1009</v>
      </c>
      <c r="E96" s="6" t="s">
        <v>4</v>
      </c>
    </row>
    <row r="97" spans="1:5" x14ac:dyDescent="0.2">
      <c r="A97" s="4">
        <v>96</v>
      </c>
      <c r="B97" s="15" t="s">
        <v>1528</v>
      </c>
      <c r="C97" s="4" t="s">
        <v>1487</v>
      </c>
      <c r="D97" s="4" t="s">
        <v>1009</v>
      </c>
      <c r="E97" s="5" t="s">
        <v>3</v>
      </c>
    </row>
    <row r="98" spans="1:5" x14ac:dyDescent="0.2">
      <c r="A98" s="4">
        <v>97</v>
      </c>
      <c r="B98" s="15" t="s">
        <v>333</v>
      </c>
      <c r="C98" s="4" t="s">
        <v>204</v>
      </c>
      <c r="D98" s="4" t="s">
        <v>1009</v>
      </c>
      <c r="E98" s="6" t="s">
        <v>4</v>
      </c>
    </row>
    <row r="99" spans="1:5" x14ac:dyDescent="0.2">
      <c r="A99" s="4">
        <v>98</v>
      </c>
      <c r="B99" s="15" t="s">
        <v>335</v>
      </c>
      <c r="C99" s="4" t="s">
        <v>271</v>
      </c>
      <c r="D99" s="4" t="s">
        <v>1009</v>
      </c>
      <c r="E99" s="6" t="s">
        <v>4</v>
      </c>
    </row>
    <row r="100" spans="1:5" x14ac:dyDescent="0.2">
      <c r="A100" s="4">
        <v>99</v>
      </c>
      <c r="B100" s="15" t="s">
        <v>336</v>
      </c>
      <c r="C100" s="4" t="s">
        <v>121</v>
      </c>
      <c r="D100" s="4" t="s">
        <v>1009</v>
      </c>
      <c r="E100" s="6" t="s">
        <v>4</v>
      </c>
    </row>
    <row r="101" spans="1:5" x14ac:dyDescent="0.2">
      <c r="A101" s="4">
        <v>100</v>
      </c>
      <c r="B101" s="15" t="s">
        <v>430</v>
      </c>
      <c r="C101" s="4" t="s">
        <v>160</v>
      </c>
      <c r="D101" s="4" t="s">
        <v>1009</v>
      </c>
      <c r="E101" s="7" t="s">
        <v>5</v>
      </c>
    </row>
    <row r="102" spans="1:5" x14ac:dyDescent="0.2">
      <c r="A102" s="4">
        <v>101</v>
      </c>
      <c r="B102" s="15" t="s">
        <v>1529</v>
      </c>
      <c r="C102" s="4" t="s">
        <v>62</v>
      </c>
      <c r="D102" s="4" t="s">
        <v>1009</v>
      </c>
      <c r="E102" s="7" t="s">
        <v>5</v>
      </c>
    </row>
    <row r="103" spans="1:5" x14ac:dyDescent="0.2">
      <c r="A103" s="4">
        <v>102</v>
      </c>
      <c r="B103" s="15" t="s">
        <v>337</v>
      </c>
      <c r="C103" s="4" t="s">
        <v>90</v>
      </c>
      <c r="D103" s="4" t="s">
        <v>1009</v>
      </c>
      <c r="E103" s="6" t="s">
        <v>4</v>
      </c>
    </row>
    <row r="104" spans="1:5" x14ac:dyDescent="0.2">
      <c r="A104" s="4">
        <v>103</v>
      </c>
      <c r="B104" s="15" t="s">
        <v>1530</v>
      </c>
      <c r="C104" s="4" t="s">
        <v>187</v>
      </c>
      <c r="D104" s="4" t="s">
        <v>1009</v>
      </c>
      <c r="E104" s="6" t="s">
        <v>4</v>
      </c>
    </row>
    <row r="105" spans="1:5" x14ac:dyDescent="0.2">
      <c r="A105" s="4">
        <v>104</v>
      </c>
      <c r="B105" s="15" t="s">
        <v>1531</v>
      </c>
      <c r="C105" s="4" t="s">
        <v>179</v>
      </c>
      <c r="D105" s="4" t="s">
        <v>1009</v>
      </c>
      <c r="E105" s="7" t="s">
        <v>5</v>
      </c>
    </row>
    <row r="106" spans="1:5" x14ac:dyDescent="0.2">
      <c r="A106" s="4">
        <v>105</v>
      </c>
      <c r="B106" s="15" t="s">
        <v>431</v>
      </c>
      <c r="C106" s="4" t="s">
        <v>218</v>
      </c>
      <c r="D106" s="4" t="s">
        <v>1009</v>
      </c>
      <c r="E106" s="7" t="s">
        <v>5</v>
      </c>
    </row>
    <row r="107" spans="1:5" x14ac:dyDescent="0.2">
      <c r="A107" s="4">
        <v>106</v>
      </c>
      <c r="B107" s="15" t="s">
        <v>1532</v>
      </c>
      <c r="C107" s="4" t="s">
        <v>1350</v>
      </c>
      <c r="D107" s="4" t="s">
        <v>1009</v>
      </c>
      <c r="E107" s="7" t="s">
        <v>5</v>
      </c>
    </row>
    <row r="108" spans="1:5" x14ac:dyDescent="0.2">
      <c r="A108" s="4">
        <v>107</v>
      </c>
      <c r="B108" s="15" t="s">
        <v>1533</v>
      </c>
      <c r="C108" s="4" t="s">
        <v>68</v>
      </c>
      <c r="D108" s="4" t="s">
        <v>1009</v>
      </c>
      <c r="E108" s="7" t="s">
        <v>5</v>
      </c>
    </row>
    <row r="109" spans="1:5" x14ac:dyDescent="0.2">
      <c r="A109" s="4">
        <v>108</v>
      </c>
      <c r="B109" s="15" t="s">
        <v>1534</v>
      </c>
      <c r="C109" s="4" t="s">
        <v>90</v>
      </c>
      <c r="D109" s="4" t="s">
        <v>1009</v>
      </c>
      <c r="E109" s="7" t="s">
        <v>5</v>
      </c>
    </row>
    <row r="110" spans="1:5" x14ac:dyDescent="0.2">
      <c r="A110" s="4">
        <v>109</v>
      </c>
      <c r="B110" s="15" t="s">
        <v>1535</v>
      </c>
      <c r="C110" s="4" t="s">
        <v>226</v>
      </c>
      <c r="D110" s="4" t="s">
        <v>1009</v>
      </c>
      <c r="E110" s="6" t="s">
        <v>4</v>
      </c>
    </row>
    <row r="111" spans="1:5" x14ac:dyDescent="0.2">
      <c r="A111" s="4">
        <v>110</v>
      </c>
      <c r="B111" s="15" t="s">
        <v>1536</v>
      </c>
      <c r="C111" s="4" t="s">
        <v>191</v>
      </c>
      <c r="D111" s="4" t="s">
        <v>1009</v>
      </c>
      <c r="E111" s="6" t="s">
        <v>4</v>
      </c>
    </row>
    <row r="112" spans="1:5" x14ac:dyDescent="0.2">
      <c r="A112" s="4">
        <v>111</v>
      </c>
      <c r="B112" s="15" t="s">
        <v>1537</v>
      </c>
      <c r="C112" s="4" t="s">
        <v>160</v>
      </c>
      <c r="D112" s="4" t="s">
        <v>1009</v>
      </c>
      <c r="E112" s="5" t="s">
        <v>3</v>
      </c>
    </row>
    <row r="113" spans="1:5" x14ac:dyDescent="0.2">
      <c r="A113" s="4">
        <v>112</v>
      </c>
      <c r="B113" s="15" t="s">
        <v>1538</v>
      </c>
      <c r="C113" s="4" t="s">
        <v>60</v>
      </c>
      <c r="D113" s="4" t="s">
        <v>1053</v>
      </c>
      <c r="E113" s="7" t="s">
        <v>5</v>
      </c>
    </row>
    <row r="114" spans="1:5" x14ac:dyDescent="0.2">
      <c r="A114" s="4">
        <v>113</v>
      </c>
      <c r="B114" s="15" t="s">
        <v>1149</v>
      </c>
      <c r="C114" s="4" t="s">
        <v>48</v>
      </c>
      <c r="D114" s="4" t="s">
        <v>1063</v>
      </c>
      <c r="E114" s="6" t="s">
        <v>4</v>
      </c>
    </row>
    <row r="115" spans="1:5" x14ac:dyDescent="0.2">
      <c r="A115" s="4">
        <v>114</v>
      </c>
      <c r="B115" s="15" t="s">
        <v>1088</v>
      </c>
      <c r="C115" s="4" t="s">
        <v>68</v>
      </c>
      <c r="D115" s="4" t="s">
        <v>1063</v>
      </c>
      <c r="E115" s="6" t="s">
        <v>4</v>
      </c>
    </row>
    <row r="116" spans="1:5" x14ac:dyDescent="0.2">
      <c r="A116" s="4">
        <v>115</v>
      </c>
      <c r="B116" s="15" t="s">
        <v>1148</v>
      </c>
      <c r="C116" s="4" t="s">
        <v>29</v>
      </c>
      <c r="D116" s="4" t="s">
        <v>1063</v>
      </c>
      <c r="E116" s="6" t="s">
        <v>4</v>
      </c>
    </row>
    <row r="117" spans="1:5" x14ac:dyDescent="0.2">
      <c r="A117" s="4">
        <v>116</v>
      </c>
      <c r="B117" s="15" t="s">
        <v>1089</v>
      </c>
      <c r="C117" s="4" t="s">
        <v>40</v>
      </c>
      <c r="D117" s="4" t="s">
        <v>1063</v>
      </c>
      <c r="E117" s="6" t="s">
        <v>4</v>
      </c>
    </row>
    <row r="118" spans="1:5" x14ac:dyDescent="0.2">
      <c r="A118" s="4">
        <v>117</v>
      </c>
      <c r="B118" s="15" t="s">
        <v>1539</v>
      </c>
      <c r="C118" s="4" t="s">
        <v>226</v>
      </c>
      <c r="D118" s="4" t="s">
        <v>1053</v>
      </c>
      <c r="E118" s="6" t="s">
        <v>4</v>
      </c>
    </row>
    <row r="119" spans="1:5" x14ac:dyDescent="0.2">
      <c r="A119" s="4">
        <v>118</v>
      </c>
      <c r="B119" s="15" t="s">
        <v>1540</v>
      </c>
      <c r="C119" s="4" t="s">
        <v>58</v>
      </c>
      <c r="D119" s="4" t="s">
        <v>1063</v>
      </c>
      <c r="E119" s="7" t="s">
        <v>5</v>
      </c>
    </row>
    <row r="120" spans="1:5" x14ac:dyDescent="0.2">
      <c r="A120" s="4">
        <v>119</v>
      </c>
      <c r="B120" s="15" t="s">
        <v>1541</v>
      </c>
      <c r="C120" s="4" t="s">
        <v>105</v>
      </c>
      <c r="D120" s="4" t="s">
        <v>1063</v>
      </c>
      <c r="E120" s="7" t="s">
        <v>5</v>
      </c>
    </row>
    <row r="121" spans="1:5" x14ac:dyDescent="0.2">
      <c r="A121" s="4">
        <v>120</v>
      </c>
      <c r="B121" s="15" t="s">
        <v>1066</v>
      </c>
      <c r="C121" s="4" t="s">
        <v>40</v>
      </c>
      <c r="D121" s="4" t="s">
        <v>1065</v>
      </c>
      <c r="E121" s="5" t="s">
        <v>3</v>
      </c>
    </row>
    <row r="122" spans="1:5" x14ac:dyDescent="0.2">
      <c r="A122" s="4">
        <v>121</v>
      </c>
      <c r="B122" s="15" t="s">
        <v>1067</v>
      </c>
      <c r="C122" s="4" t="s">
        <v>90</v>
      </c>
      <c r="D122" s="4" t="s">
        <v>1065</v>
      </c>
      <c r="E122" s="5" t="s">
        <v>3</v>
      </c>
    </row>
    <row r="123" spans="1:5" x14ac:dyDescent="0.2">
      <c r="A123" s="4">
        <v>122</v>
      </c>
      <c r="B123" s="15" t="s">
        <v>1068</v>
      </c>
      <c r="C123" s="4" t="s">
        <v>179</v>
      </c>
      <c r="D123" s="4" t="s">
        <v>1065</v>
      </c>
      <c r="E123" s="5" t="s">
        <v>3</v>
      </c>
    </row>
    <row r="124" spans="1:5" x14ac:dyDescent="0.2">
      <c r="A124" s="4">
        <v>123</v>
      </c>
      <c r="B124" s="15" t="s">
        <v>1069</v>
      </c>
      <c r="C124" s="4" t="s">
        <v>207</v>
      </c>
      <c r="D124" s="4" t="s">
        <v>1065</v>
      </c>
      <c r="E124" s="5" t="s">
        <v>3</v>
      </c>
    </row>
    <row r="125" spans="1:5" x14ac:dyDescent="0.2">
      <c r="A125" s="4">
        <v>124</v>
      </c>
      <c r="B125" s="15" t="s">
        <v>1070</v>
      </c>
      <c r="C125" s="4" t="s">
        <v>48</v>
      </c>
      <c r="D125" s="4" t="s">
        <v>1065</v>
      </c>
      <c r="E125" s="5" t="s">
        <v>3</v>
      </c>
    </row>
    <row r="126" spans="1:5" x14ac:dyDescent="0.2">
      <c r="A126" s="4">
        <v>125</v>
      </c>
      <c r="B126" s="15" t="s">
        <v>1090</v>
      </c>
      <c r="C126" s="4" t="s">
        <v>345</v>
      </c>
      <c r="D126" s="4" t="s">
        <v>1065</v>
      </c>
      <c r="E126" s="6" t="s">
        <v>4</v>
      </c>
    </row>
    <row r="127" spans="1:5" x14ac:dyDescent="0.2">
      <c r="A127" s="4">
        <v>126</v>
      </c>
      <c r="B127" s="15" t="s">
        <v>1091</v>
      </c>
      <c r="C127" s="4" t="s">
        <v>90</v>
      </c>
      <c r="D127" s="4" t="s">
        <v>1065</v>
      </c>
      <c r="E127" s="6" t="s">
        <v>4</v>
      </c>
    </row>
    <row r="128" spans="1:5" x14ac:dyDescent="0.2">
      <c r="A128" s="4">
        <v>127</v>
      </c>
      <c r="B128" s="15" t="s">
        <v>1146</v>
      </c>
      <c r="C128" s="4" t="s">
        <v>60</v>
      </c>
      <c r="D128" s="4" t="s">
        <v>1065</v>
      </c>
      <c r="E128" s="6" t="s">
        <v>4</v>
      </c>
    </row>
    <row r="129" spans="1:5" x14ac:dyDescent="0.2">
      <c r="A129" s="4">
        <v>128</v>
      </c>
      <c r="B129" s="15" t="s">
        <v>1542</v>
      </c>
      <c r="C129" s="4" t="s">
        <v>118</v>
      </c>
      <c r="D129" s="4" t="s">
        <v>1065</v>
      </c>
      <c r="E129" s="6" t="s">
        <v>4</v>
      </c>
    </row>
    <row r="130" spans="1:5" x14ac:dyDescent="0.2">
      <c r="A130" s="4">
        <v>129</v>
      </c>
      <c r="B130" s="15" t="s">
        <v>1092</v>
      </c>
      <c r="C130" s="4" t="s">
        <v>98</v>
      </c>
      <c r="D130" s="4" t="s">
        <v>1065</v>
      </c>
      <c r="E130" s="6" t="s">
        <v>4</v>
      </c>
    </row>
    <row r="131" spans="1:5" x14ac:dyDescent="0.2">
      <c r="A131" s="4">
        <v>130</v>
      </c>
      <c r="B131" s="15" t="s">
        <v>1093</v>
      </c>
      <c r="C131" s="4" t="s">
        <v>62</v>
      </c>
      <c r="D131" s="4" t="s">
        <v>1065</v>
      </c>
      <c r="E131" s="6" t="s">
        <v>4</v>
      </c>
    </row>
    <row r="132" spans="1:5" x14ac:dyDescent="0.2">
      <c r="A132" s="4">
        <v>131</v>
      </c>
      <c r="B132" s="15" t="s">
        <v>1543</v>
      </c>
      <c r="C132" s="4" t="s">
        <v>43</v>
      </c>
      <c r="D132" s="4" t="s">
        <v>1065</v>
      </c>
      <c r="E132" s="6" t="s">
        <v>4</v>
      </c>
    </row>
    <row r="133" spans="1:5" x14ac:dyDescent="0.2">
      <c r="A133" s="4">
        <v>132</v>
      </c>
      <c r="B133" s="15" t="s">
        <v>1544</v>
      </c>
      <c r="C133" s="4" t="s">
        <v>62</v>
      </c>
      <c r="D133" s="4" t="s">
        <v>1065</v>
      </c>
      <c r="E133" s="7" t="s">
        <v>5</v>
      </c>
    </row>
    <row r="134" spans="1:5" x14ac:dyDescent="0.2">
      <c r="A134" s="4">
        <v>133</v>
      </c>
      <c r="B134" s="15" t="s">
        <v>1545</v>
      </c>
      <c r="C134" s="4" t="s">
        <v>90</v>
      </c>
      <c r="D134" s="4" t="s">
        <v>1053</v>
      </c>
      <c r="E134" s="7" t="s">
        <v>5</v>
      </c>
    </row>
    <row r="135" spans="1:5" x14ac:dyDescent="0.2">
      <c r="A135" s="4">
        <v>134</v>
      </c>
      <c r="B135" s="15" t="s">
        <v>1094</v>
      </c>
      <c r="C135" s="4" t="s">
        <v>90</v>
      </c>
      <c r="D135" s="4" t="s">
        <v>1053</v>
      </c>
      <c r="E135" s="6" t="s">
        <v>4</v>
      </c>
    </row>
    <row r="136" spans="1:5" x14ac:dyDescent="0.2">
      <c r="A136" s="4">
        <v>135</v>
      </c>
      <c r="B136" s="15" t="s">
        <v>1095</v>
      </c>
      <c r="C136" s="4" t="s">
        <v>112</v>
      </c>
      <c r="D136" s="4" t="s">
        <v>1053</v>
      </c>
      <c r="E136" s="6" t="s">
        <v>4</v>
      </c>
    </row>
    <row r="137" spans="1:5" x14ac:dyDescent="0.2">
      <c r="A137" s="4">
        <v>136</v>
      </c>
      <c r="B137" s="15" t="s">
        <v>1096</v>
      </c>
      <c r="C137" s="4" t="s">
        <v>48</v>
      </c>
      <c r="D137" s="4" t="s">
        <v>1053</v>
      </c>
      <c r="E137" s="6" t="s">
        <v>4</v>
      </c>
    </row>
    <row r="138" spans="1:5" x14ac:dyDescent="0.2">
      <c r="A138" s="4">
        <v>137</v>
      </c>
      <c r="B138" s="15" t="s">
        <v>1145</v>
      </c>
      <c r="C138" s="4" t="s">
        <v>271</v>
      </c>
      <c r="D138" s="4" t="s">
        <v>1053</v>
      </c>
      <c r="E138" s="6" t="s">
        <v>4</v>
      </c>
    </row>
    <row r="139" spans="1:5" x14ac:dyDescent="0.2">
      <c r="A139" s="4">
        <v>138</v>
      </c>
      <c r="B139" s="15" t="s">
        <v>1097</v>
      </c>
      <c r="C139" s="4" t="s">
        <v>267</v>
      </c>
      <c r="D139" s="4" t="s">
        <v>1053</v>
      </c>
      <c r="E139" s="6" t="s">
        <v>4</v>
      </c>
    </row>
    <row r="140" spans="1:5" x14ac:dyDescent="0.2">
      <c r="A140" s="4">
        <v>139</v>
      </c>
      <c r="B140" s="15" t="s">
        <v>1098</v>
      </c>
      <c r="C140" s="4" t="s">
        <v>191</v>
      </c>
      <c r="D140" s="4" t="s">
        <v>1053</v>
      </c>
      <c r="E140" s="6" t="s">
        <v>4</v>
      </c>
    </row>
    <row r="141" spans="1:5" x14ac:dyDescent="0.2">
      <c r="A141" s="4">
        <v>140</v>
      </c>
      <c r="B141" s="15" t="s">
        <v>1546</v>
      </c>
      <c r="C141" s="4" t="s">
        <v>112</v>
      </c>
      <c r="D141" s="4" t="s">
        <v>1053</v>
      </c>
      <c r="E141" s="6" t="s">
        <v>4</v>
      </c>
    </row>
    <row r="142" spans="1:5" x14ac:dyDescent="0.2">
      <c r="A142" s="4">
        <v>141</v>
      </c>
      <c r="B142" s="15" t="s">
        <v>1547</v>
      </c>
      <c r="C142" s="4" t="s">
        <v>87</v>
      </c>
      <c r="D142" s="4" t="s">
        <v>1053</v>
      </c>
      <c r="E142" s="6" t="s">
        <v>4</v>
      </c>
    </row>
    <row r="143" spans="1:5" x14ac:dyDescent="0.2">
      <c r="A143" s="4">
        <v>142</v>
      </c>
      <c r="B143" s="15" t="s">
        <v>1548</v>
      </c>
      <c r="C143" s="4" t="s">
        <v>332</v>
      </c>
      <c r="D143" s="4" t="s">
        <v>1053</v>
      </c>
      <c r="E143" s="6" t="s">
        <v>4</v>
      </c>
    </row>
    <row r="144" spans="1:5" x14ac:dyDescent="0.2">
      <c r="A144" s="4">
        <v>143</v>
      </c>
      <c r="B144" s="15" t="s">
        <v>1549</v>
      </c>
      <c r="C144" s="4" t="s">
        <v>226</v>
      </c>
      <c r="D144" s="4" t="s">
        <v>1108</v>
      </c>
      <c r="E144" s="6" t="s">
        <v>4</v>
      </c>
    </row>
    <row r="145" spans="1:5" x14ac:dyDescent="0.2">
      <c r="A145" s="4">
        <v>144</v>
      </c>
      <c r="B145" s="15" t="s">
        <v>1550</v>
      </c>
      <c r="C145" s="4" t="s">
        <v>62</v>
      </c>
      <c r="D145" s="4" t="s">
        <v>1055</v>
      </c>
      <c r="E145" s="6" t="s">
        <v>4</v>
      </c>
    </row>
    <row r="146" spans="1:5" x14ac:dyDescent="0.2">
      <c r="A146" s="4">
        <v>145</v>
      </c>
      <c r="B146" s="15" t="s">
        <v>1551</v>
      </c>
      <c r="C146" s="4" t="s">
        <v>90</v>
      </c>
      <c r="D146" s="4" t="s">
        <v>1053</v>
      </c>
      <c r="E146" s="7" t="s">
        <v>5</v>
      </c>
    </row>
    <row r="147" spans="1:5" x14ac:dyDescent="0.2">
      <c r="A147" s="4">
        <v>146</v>
      </c>
      <c r="B147" s="15" t="s">
        <v>1099</v>
      </c>
      <c r="C147" s="4" t="s">
        <v>160</v>
      </c>
      <c r="D147" s="4" t="s">
        <v>1053</v>
      </c>
      <c r="E147" s="6" t="s">
        <v>4</v>
      </c>
    </row>
    <row r="148" spans="1:5" x14ac:dyDescent="0.2">
      <c r="A148" s="4">
        <v>147</v>
      </c>
      <c r="B148" s="15" t="s">
        <v>1144</v>
      </c>
      <c r="C148" s="4" t="s">
        <v>332</v>
      </c>
      <c r="D148" s="4" t="s">
        <v>1101</v>
      </c>
      <c r="E148" s="6" t="s">
        <v>4</v>
      </c>
    </row>
    <row r="149" spans="1:5" x14ac:dyDescent="0.2">
      <c r="A149" s="4">
        <v>148</v>
      </c>
      <c r="B149" s="15" t="s">
        <v>1143</v>
      </c>
      <c r="C149" s="4" t="s">
        <v>181</v>
      </c>
      <c r="D149" s="4" t="s">
        <v>1053</v>
      </c>
      <c r="E149" s="6" t="s">
        <v>4</v>
      </c>
    </row>
    <row r="150" spans="1:5" x14ac:dyDescent="0.2">
      <c r="A150" s="4">
        <v>149</v>
      </c>
      <c r="B150" s="15" t="s">
        <v>1142</v>
      </c>
      <c r="C150" s="4" t="s">
        <v>29</v>
      </c>
      <c r="D150" s="4" t="s">
        <v>1053</v>
      </c>
      <c r="E150" s="6" t="s">
        <v>4</v>
      </c>
    </row>
    <row r="151" spans="1:5" x14ac:dyDescent="0.2">
      <c r="A151" s="4">
        <v>150</v>
      </c>
      <c r="B151" s="15" t="s">
        <v>1141</v>
      </c>
      <c r="C151" s="4" t="s">
        <v>121</v>
      </c>
      <c r="D151" s="4" t="s">
        <v>1053</v>
      </c>
      <c r="E151" s="6" t="s">
        <v>4</v>
      </c>
    </row>
    <row r="152" spans="1:5" x14ac:dyDescent="0.2">
      <c r="A152" s="4">
        <v>151</v>
      </c>
      <c r="B152" s="15" t="s">
        <v>1552</v>
      </c>
      <c r="C152" s="4" t="s">
        <v>29</v>
      </c>
      <c r="D152" s="4" t="s">
        <v>1053</v>
      </c>
      <c r="E152" s="6" t="s">
        <v>4</v>
      </c>
    </row>
    <row r="153" spans="1:5" x14ac:dyDescent="0.2">
      <c r="A153" s="4">
        <v>152</v>
      </c>
      <c r="B153" s="15" t="s">
        <v>1140</v>
      </c>
      <c r="C153" s="4" t="s">
        <v>58</v>
      </c>
      <c r="D153" s="4" t="s">
        <v>1053</v>
      </c>
      <c r="E153" s="6" t="s">
        <v>4</v>
      </c>
    </row>
    <row r="154" spans="1:5" x14ac:dyDescent="0.2">
      <c r="A154" s="4">
        <v>153</v>
      </c>
      <c r="B154" s="15" t="s">
        <v>1139</v>
      </c>
      <c r="C154" s="4" t="s">
        <v>150</v>
      </c>
      <c r="D154" s="4" t="s">
        <v>1101</v>
      </c>
      <c r="E154" s="6" t="s">
        <v>4</v>
      </c>
    </row>
    <row r="155" spans="1:5" x14ac:dyDescent="0.2">
      <c r="A155" s="4">
        <v>154</v>
      </c>
      <c r="B155" s="15" t="s">
        <v>1100</v>
      </c>
      <c r="C155" s="4" t="s">
        <v>267</v>
      </c>
      <c r="D155" s="4" t="s">
        <v>1101</v>
      </c>
      <c r="E155" s="6" t="s">
        <v>4</v>
      </c>
    </row>
    <row r="156" spans="1:5" x14ac:dyDescent="0.2">
      <c r="A156" s="4">
        <v>155</v>
      </c>
      <c r="B156" s="15" t="s">
        <v>1553</v>
      </c>
      <c r="C156" s="4" t="s">
        <v>223</v>
      </c>
      <c r="D156" s="4" t="s">
        <v>1101</v>
      </c>
      <c r="E156" s="6" t="s">
        <v>4</v>
      </c>
    </row>
    <row r="157" spans="1:5" x14ac:dyDescent="0.2">
      <c r="A157" s="4">
        <v>156</v>
      </c>
      <c r="B157" s="15" t="s">
        <v>1138</v>
      </c>
      <c r="C157" s="4" t="s">
        <v>345</v>
      </c>
      <c r="D157" s="4" t="s">
        <v>1101</v>
      </c>
      <c r="E157" s="6" t="s">
        <v>4</v>
      </c>
    </row>
    <row r="158" spans="1:5" x14ac:dyDescent="0.2">
      <c r="A158" s="4">
        <v>157</v>
      </c>
      <c r="B158" s="15" t="s">
        <v>1102</v>
      </c>
      <c r="C158" s="4" t="s">
        <v>131</v>
      </c>
      <c r="D158" s="4" t="s">
        <v>1101</v>
      </c>
      <c r="E158" s="6" t="s">
        <v>4</v>
      </c>
    </row>
    <row r="159" spans="1:5" x14ac:dyDescent="0.2">
      <c r="A159" s="4">
        <v>158</v>
      </c>
      <c r="B159" s="15" t="s">
        <v>1554</v>
      </c>
      <c r="C159" s="4" t="s">
        <v>112</v>
      </c>
      <c r="D159" s="4" t="s">
        <v>1055</v>
      </c>
      <c r="E159" s="7" t="s">
        <v>5</v>
      </c>
    </row>
    <row r="160" spans="1:5" x14ac:dyDescent="0.2">
      <c r="A160" s="4">
        <v>159</v>
      </c>
      <c r="B160" s="15" t="s">
        <v>1555</v>
      </c>
      <c r="C160" s="4" t="s">
        <v>271</v>
      </c>
      <c r="D160" s="4" t="s">
        <v>1101</v>
      </c>
      <c r="E160" s="7" t="s">
        <v>5</v>
      </c>
    </row>
    <row r="161" spans="1:5" x14ac:dyDescent="0.2">
      <c r="A161" s="4">
        <v>160</v>
      </c>
      <c r="B161" s="15" t="s">
        <v>1556</v>
      </c>
      <c r="C161" s="4" t="s">
        <v>1557</v>
      </c>
      <c r="D161" s="4" t="s">
        <v>1053</v>
      </c>
      <c r="E161" s="6" t="s">
        <v>4</v>
      </c>
    </row>
    <row r="162" spans="1:5" x14ac:dyDescent="0.2">
      <c r="A162" s="4">
        <v>161</v>
      </c>
      <c r="B162" s="15" t="s">
        <v>1103</v>
      </c>
      <c r="C162" s="4" t="s">
        <v>100</v>
      </c>
      <c r="D162" s="4" t="s">
        <v>1101</v>
      </c>
      <c r="E162" s="6" t="s">
        <v>4</v>
      </c>
    </row>
    <row r="163" spans="1:5" x14ac:dyDescent="0.2">
      <c r="A163" s="4">
        <v>162</v>
      </c>
      <c r="B163" s="15" t="s">
        <v>1558</v>
      </c>
      <c r="C163" s="4" t="s">
        <v>95</v>
      </c>
      <c r="D163" s="4" t="s">
        <v>1053</v>
      </c>
      <c r="E163" s="7" t="s">
        <v>5</v>
      </c>
    </row>
    <row r="164" spans="1:5" x14ac:dyDescent="0.2">
      <c r="A164" s="4">
        <v>163</v>
      </c>
      <c r="B164" s="15" t="s">
        <v>1559</v>
      </c>
      <c r="C164" s="4" t="s">
        <v>267</v>
      </c>
      <c r="D164" s="4" t="s">
        <v>1101</v>
      </c>
      <c r="E164" s="7" t="s">
        <v>5</v>
      </c>
    </row>
    <row r="165" spans="1:5" x14ac:dyDescent="0.2">
      <c r="A165" s="4">
        <v>164</v>
      </c>
      <c r="B165" s="15" t="s">
        <v>1560</v>
      </c>
      <c r="C165" s="4" t="s">
        <v>72</v>
      </c>
      <c r="D165" s="4" t="s">
        <v>1101</v>
      </c>
      <c r="E165" s="6" t="s">
        <v>4</v>
      </c>
    </row>
    <row r="166" spans="1:5" x14ac:dyDescent="0.2">
      <c r="A166" s="4">
        <v>165</v>
      </c>
      <c r="B166" s="15" t="s">
        <v>1104</v>
      </c>
      <c r="C166" s="4" t="s">
        <v>105</v>
      </c>
      <c r="D166" s="4" t="s">
        <v>1053</v>
      </c>
      <c r="E166" s="6" t="s">
        <v>4</v>
      </c>
    </row>
    <row r="167" spans="1:5" x14ac:dyDescent="0.2">
      <c r="A167" s="4">
        <v>166</v>
      </c>
      <c r="B167" s="15" t="s">
        <v>1105</v>
      </c>
      <c r="C167" s="4" t="s">
        <v>10</v>
      </c>
      <c r="D167" s="4" t="s">
        <v>1053</v>
      </c>
      <c r="E167" s="6" t="s">
        <v>4</v>
      </c>
    </row>
    <row r="168" spans="1:5" x14ac:dyDescent="0.2">
      <c r="A168" s="4">
        <v>167</v>
      </c>
      <c r="B168" s="15" t="s">
        <v>1106</v>
      </c>
      <c r="C168" s="4" t="s">
        <v>197</v>
      </c>
      <c r="D168" s="4" t="s">
        <v>1053</v>
      </c>
      <c r="E168" s="6" t="s">
        <v>4</v>
      </c>
    </row>
    <row r="169" spans="1:5" x14ac:dyDescent="0.2">
      <c r="A169" s="4">
        <v>168</v>
      </c>
      <c r="B169" s="15" t="s">
        <v>1561</v>
      </c>
      <c r="C169" s="4" t="s">
        <v>179</v>
      </c>
      <c r="D169" s="4" t="s">
        <v>1053</v>
      </c>
      <c r="E169" s="6" t="s">
        <v>4</v>
      </c>
    </row>
    <row r="170" spans="1:5" x14ac:dyDescent="0.2">
      <c r="A170" s="4">
        <v>169</v>
      </c>
      <c r="B170" s="15" t="s">
        <v>1562</v>
      </c>
      <c r="C170" s="4" t="s">
        <v>405</v>
      </c>
      <c r="D170" s="4" t="s">
        <v>1053</v>
      </c>
      <c r="E170" s="6" t="s">
        <v>4</v>
      </c>
    </row>
    <row r="171" spans="1:5" x14ac:dyDescent="0.2">
      <c r="A171" s="4">
        <v>170</v>
      </c>
      <c r="B171" s="15" t="s">
        <v>1107</v>
      </c>
      <c r="C171" s="4" t="s">
        <v>226</v>
      </c>
      <c r="D171" s="4" t="s">
        <v>1108</v>
      </c>
      <c r="E171" s="6" t="s">
        <v>4</v>
      </c>
    </row>
    <row r="172" spans="1:5" x14ac:dyDescent="0.2">
      <c r="A172" s="4">
        <v>171</v>
      </c>
      <c r="B172" s="15" t="s">
        <v>1563</v>
      </c>
      <c r="C172" s="4" t="s">
        <v>85</v>
      </c>
      <c r="D172" s="4" t="s">
        <v>1108</v>
      </c>
      <c r="E172" s="6" t="s">
        <v>4</v>
      </c>
    </row>
    <row r="173" spans="1:5" x14ac:dyDescent="0.2">
      <c r="A173" s="4">
        <v>172</v>
      </c>
      <c r="B173" s="15" t="s">
        <v>1564</v>
      </c>
      <c r="C173" s="4" t="s">
        <v>191</v>
      </c>
      <c r="D173" s="4" t="s">
        <v>1053</v>
      </c>
      <c r="E173" s="6" t="s">
        <v>4</v>
      </c>
    </row>
    <row r="174" spans="1:5" x14ac:dyDescent="0.2">
      <c r="A174" s="4">
        <v>173</v>
      </c>
      <c r="B174" s="15" t="s">
        <v>1565</v>
      </c>
      <c r="C174" s="4" t="s">
        <v>368</v>
      </c>
      <c r="D174" s="4" t="s">
        <v>1053</v>
      </c>
      <c r="E174" s="6" t="s">
        <v>4</v>
      </c>
    </row>
    <row r="175" spans="1:5" x14ac:dyDescent="0.2">
      <c r="A175" s="4">
        <v>174</v>
      </c>
      <c r="B175" s="15" t="s">
        <v>1566</v>
      </c>
      <c r="C175" s="4" t="s">
        <v>90</v>
      </c>
      <c r="D175" s="4" t="s">
        <v>1053</v>
      </c>
      <c r="E175" s="6" t="s">
        <v>4</v>
      </c>
    </row>
    <row r="176" spans="1:5" x14ac:dyDescent="0.2">
      <c r="A176" s="4">
        <v>175</v>
      </c>
      <c r="B176" s="15" t="s">
        <v>1567</v>
      </c>
      <c r="C176" s="4" t="s">
        <v>223</v>
      </c>
      <c r="D176" s="4" t="s">
        <v>1053</v>
      </c>
      <c r="E176" s="7" t="s">
        <v>5</v>
      </c>
    </row>
  </sheetData>
  <autoFilter ref="A1:E176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6"/>
  <sheetViews>
    <sheetView tabSelected="1" zoomScaleNormal="100" workbookViewId="0">
      <pane ySplit="1" topLeftCell="A31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45" customWidth="1"/>
    <col min="3" max="3" width="14" customWidth="1"/>
    <col min="4" max="4" width="18" customWidth="1"/>
    <col min="5" max="5" width="11" customWidth="1"/>
    <col min="6" max="6" width="100" customWidth="1"/>
  </cols>
  <sheetData>
    <row r="1" spans="1:6" x14ac:dyDescent="0.2">
      <c r="A1" s="3" t="s">
        <v>20</v>
      </c>
      <c r="B1" s="3" t="s">
        <v>21</v>
      </c>
      <c r="C1" s="3" t="s">
        <v>22</v>
      </c>
      <c r="D1" s="3" t="s">
        <v>1000</v>
      </c>
      <c r="E1" s="3" t="s">
        <v>24</v>
      </c>
      <c r="F1" s="3" t="s">
        <v>1170</v>
      </c>
    </row>
    <row r="2" spans="1:6" ht="139.5" customHeight="1" x14ac:dyDescent="0.2">
      <c r="A2" s="8">
        <v>1</v>
      </c>
      <c r="B2" s="8" t="s">
        <v>1165</v>
      </c>
      <c r="C2" s="8" t="s">
        <v>197</v>
      </c>
      <c r="D2" s="8" t="s">
        <v>1055</v>
      </c>
      <c r="E2" s="11" t="s">
        <v>4</v>
      </c>
      <c r="F2" s="10" t="s">
        <v>1568</v>
      </c>
    </row>
    <row r="3" spans="1:6" ht="153.75" customHeight="1" x14ac:dyDescent="0.2">
      <c r="A3" s="8">
        <v>2</v>
      </c>
      <c r="B3" s="8" t="s">
        <v>1168</v>
      </c>
      <c r="C3" s="8" t="s">
        <v>60</v>
      </c>
      <c r="D3" s="8" t="s">
        <v>1055</v>
      </c>
      <c r="E3" s="11" t="s">
        <v>4</v>
      </c>
      <c r="F3" s="10" t="s">
        <v>1569</v>
      </c>
    </row>
    <row r="4" spans="1:6" ht="168" customHeight="1" x14ac:dyDescent="0.2">
      <c r="A4" s="8">
        <v>3</v>
      </c>
      <c r="B4" s="8" t="s">
        <v>1163</v>
      </c>
      <c r="C4" s="8" t="s">
        <v>58</v>
      </c>
      <c r="D4" s="8" t="s">
        <v>1164</v>
      </c>
      <c r="E4" s="9" t="s">
        <v>3</v>
      </c>
      <c r="F4" s="10" t="s">
        <v>1570</v>
      </c>
    </row>
    <row r="5" spans="1:6" ht="409.6" customHeight="1" x14ac:dyDescent="0.2">
      <c r="A5" s="8">
        <v>4</v>
      </c>
      <c r="B5" s="8" t="s">
        <v>1474</v>
      </c>
      <c r="C5" s="8" t="s">
        <v>58</v>
      </c>
      <c r="D5" s="8" t="s">
        <v>1055</v>
      </c>
      <c r="E5" s="12" t="s">
        <v>5</v>
      </c>
      <c r="F5" s="10" t="s">
        <v>1571</v>
      </c>
    </row>
    <row r="6" spans="1:6" ht="210" customHeight="1" x14ac:dyDescent="0.2">
      <c r="A6" s="8">
        <v>5</v>
      </c>
      <c r="B6" s="8" t="s">
        <v>1475</v>
      </c>
      <c r="C6" s="8" t="s">
        <v>60</v>
      </c>
      <c r="D6" s="8" t="s">
        <v>1476</v>
      </c>
      <c r="E6" s="12" t="s">
        <v>5</v>
      </c>
      <c r="F6" s="10" t="s">
        <v>1572</v>
      </c>
    </row>
    <row r="7" spans="1:6" ht="153.75" customHeight="1" x14ac:dyDescent="0.2">
      <c r="A7" s="8">
        <v>6</v>
      </c>
      <c r="B7" s="8" t="s">
        <v>1169</v>
      </c>
      <c r="C7" s="8" t="s">
        <v>29</v>
      </c>
      <c r="D7" s="8" t="s">
        <v>1055</v>
      </c>
      <c r="E7" s="11" t="s">
        <v>4</v>
      </c>
      <c r="F7" s="10" t="s">
        <v>1573</v>
      </c>
    </row>
    <row r="8" spans="1:6" ht="237.75" customHeight="1" x14ac:dyDescent="0.2">
      <c r="A8" s="8">
        <v>7</v>
      </c>
      <c r="B8" s="8" t="s">
        <v>1167</v>
      </c>
      <c r="C8" s="8" t="s">
        <v>40</v>
      </c>
      <c r="D8" s="8" t="s">
        <v>1055</v>
      </c>
      <c r="E8" s="11" t="s">
        <v>4</v>
      </c>
      <c r="F8" s="10" t="s">
        <v>1574</v>
      </c>
    </row>
    <row r="9" spans="1:6" ht="181.5" customHeight="1" x14ac:dyDescent="0.2">
      <c r="A9" s="8">
        <v>8</v>
      </c>
      <c r="B9" s="8" t="s">
        <v>1166</v>
      </c>
      <c r="C9" s="8" t="s">
        <v>112</v>
      </c>
      <c r="D9" s="8" t="s">
        <v>1055</v>
      </c>
      <c r="E9" s="11" t="s">
        <v>4</v>
      </c>
      <c r="F9" s="10" t="s">
        <v>1575</v>
      </c>
    </row>
    <row r="10" spans="1:6" ht="139.5" customHeight="1" x14ac:dyDescent="0.2">
      <c r="A10" s="8">
        <v>9</v>
      </c>
      <c r="B10" s="8" t="s">
        <v>1152</v>
      </c>
      <c r="C10" s="8" t="s">
        <v>40</v>
      </c>
      <c r="D10" s="8" t="s">
        <v>1060</v>
      </c>
      <c r="E10" s="11" t="s">
        <v>4</v>
      </c>
      <c r="F10" s="10" t="s">
        <v>1576</v>
      </c>
    </row>
    <row r="11" spans="1:6" ht="294" customHeight="1" x14ac:dyDescent="0.2">
      <c r="A11" s="8">
        <v>10</v>
      </c>
      <c r="B11" s="8" t="s">
        <v>1158</v>
      </c>
      <c r="C11" s="8" t="s">
        <v>40</v>
      </c>
      <c r="D11" s="8" t="s">
        <v>1154</v>
      </c>
      <c r="E11" s="11" t="s">
        <v>4</v>
      </c>
      <c r="F11" s="10" t="s">
        <v>1577</v>
      </c>
    </row>
    <row r="12" spans="1:6" ht="210" customHeight="1" x14ac:dyDescent="0.2">
      <c r="A12" s="8">
        <v>11</v>
      </c>
      <c r="B12" s="8" t="s">
        <v>1156</v>
      </c>
      <c r="C12" s="8" t="s">
        <v>40</v>
      </c>
      <c r="D12" s="8" t="s">
        <v>1157</v>
      </c>
      <c r="E12" s="11" t="s">
        <v>4</v>
      </c>
      <c r="F12" s="10" t="s">
        <v>1578</v>
      </c>
    </row>
    <row r="13" spans="1:6" ht="223.5" customHeight="1" x14ac:dyDescent="0.2">
      <c r="A13" s="8">
        <v>12</v>
      </c>
      <c r="B13" s="8" t="s">
        <v>1155</v>
      </c>
      <c r="C13" s="8" t="s">
        <v>40</v>
      </c>
      <c r="D13" s="8" t="s">
        <v>1154</v>
      </c>
      <c r="E13" s="11" t="s">
        <v>4</v>
      </c>
      <c r="F13" s="10" t="s">
        <v>1309</v>
      </c>
    </row>
    <row r="14" spans="1:6" ht="168" customHeight="1" x14ac:dyDescent="0.2">
      <c r="A14" s="8">
        <v>13</v>
      </c>
      <c r="B14" s="8" t="s">
        <v>1153</v>
      </c>
      <c r="C14" s="8" t="s">
        <v>40</v>
      </c>
      <c r="D14" s="8" t="s">
        <v>1154</v>
      </c>
      <c r="E14" s="11" t="s">
        <v>4</v>
      </c>
      <c r="F14" s="10" t="s">
        <v>1579</v>
      </c>
    </row>
    <row r="15" spans="1:6" ht="139.5" customHeight="1" x14ac:dyDescent="0.2">
      <c r="A15" s="8">
        <v>14</v>
      </c>
      <c r="B15" s="8" t="s">
        <v>1162</v>
      </c>
      <c r="C15" s="8" t="s">
        <v>40</v>
      </c>
      <c r="D15" s="8" t="s">
        <v>1053</v>
      </c>
      <c r="E15" s="11" t="s">
        <v>4</v>
      </c>
      <c r="F15" s="10" t="s">
        <v>1315</v>
      </c>
    </row>
    <row r="16" spans="1:6" ht="237.75" customHeight="1" x14ac:dyDescent="0.2">
      <c r="A16" s="8">
        <v>15</v>
      </c>
      <c r="B16" s="8" t="s">
        <v>1161</v>
      </c>
      <c r="C16" s="8" t="s">
        <v>40</v>
      </c>
      <c r="D16" s="8" t="s">
        <v>1101</v>
      </c>
      <c r="E16" s="11" t="s">
        <v>4</v>
      </c>
      <c r="F16" s="10" t="s">
        <v>1580</v>
      </c>
    </row>
    <row r="17" spans="1:6" ht="139.5" customHeight="1" x14ac:dyDescent="0.2">
      <c r="A17" s="8">
        <v>16</v>
      </c>
      <c r="B17" s="8" t="s">
        <v>1160</v>
      </c>
      <c r="C17" s="8" t="s">
        <v>40</v>
      </c>
      <c r="D17" s="8" t="s">
        <v>1053</v>
      </c>
      <c r="E17" s="11" t="s">
        <v>4</v>
      </c>
      <c r="F17" s="10" t="s">
        <v>1581</v>
      </c>
    </row>
    <row r="18" spans="1:6" ht="139.5" customHeight="1" x14ac:dyDescent="0.2">
      <c r="A18" s="8">
        <v>17</v>
      </c>
      <c r="B18" s="8" t="s">
        <v>1159</v>
      </c>
      <c r="C18" s="8" t="s">
        <v>40</v>
      </c>
      <c r="D18" s="8" t="s">
        <v>1053</v>
      </c>
      <c r="E18" s="12" t="s">
        <v>5</v>
      </c>
      <c r="F18" s="10" t="s">
        <v>1582</v>
      </c>
    </row>
    <row r="19" spans="1:6" ht="181.5" customHeight="1" x14ac:dyDescent="0.2">
      <c r="A19" s="8">
        <v>18</v>
      </c>
      <c r="B19" s="8" t="s">
        <v>1477</v>
      </c>
      <c r="C19" s="8" t="s">
        <v>226</v>
      </c>
      <c r="D19" s="8" t="s">
        <v>1009</v>
      </c>
      <c r="E19" s="9" t="s">
        <v>3</v>
      </c>
      <c r="F19" s="10" t="s">
        <v>1583</v>
      </c>
    </row>
    <row r="20" spans="1:6" ht="60" customHeight="1" x14ac:dyDescent="0.2">
      <c r="A20" s="8">
        <v>19</v>
      </c>
      <c r="B20" s="8" t="s">
        <v>1052</v>
      </c>
      <c r="C20" s="8" t="s">
        <v>29</v>
      </c>
      <c r="D20" s="8" t="s">
        <v>1053</v>
      </c>
      <c r="E20" s="9" t="s">
        <v>3</v>
      </c>
      <c r="F20" s="10" t="s">
        <v>1218</v>
      </c>
    </row>
    <row r="21" spans="1:6" ht="223.5" customHeight="1" x14ac:dyDescent="0.2">
      <c r="A21" s="8">
        <v>20</v>
      </c>
      <c r="B21" s="8" t="s">
        <v>1478</v>
      </c>
      <c r="C21" s="8" t="s">
        <v>179</v>
      </c>
      <c r="D21" s="8" t="s">
        <v>1009</v>
      </c>
      <c r="E21" s="9" t="s">
        <v>3</v>
      </c>
      <c r="F21" s="10" t="s">
        <v>1584</v>
      </c>
    </row>
    <row r="22" spans="1:6" ht="139.5" customHeight="1" x14ac:dyDescent="0.2">
      <c r="A22" s="8">
        <v>21</v>
      </c>
      <c r="B22" s="8" t="s">
        <v>1479</v>
      </c>
      <c r="C22" s="8" t="s">
        <v>283</v>
      </c>
      <c r="D22" s="8" t="s">
        <v>1009</v>
      </c>
      <c r="E22" s="9" t="s">
        <v>3</v>
      </c>
      <c r="F22" s="10" t="s">
        <v>1585</v>
      </c>
    </row>
    <row r="23" spans="1:6" ht="168" customHeight="1" x14ac:dyDescent="0.2">
      <c r="A23" s="8">
        <v>22</v>
      </c>
      <c r="B23" s="8" t="s">
        <v>1480</v>
      </c>
      <c r="C23" s="8" t="s">
        <v>118</v>
      </c>
      <c r="D23" s="8" t="s">
        <v>1009</v>
      </c>
      <c r="E23" s="9" t="s">
        <v>3</v>
      </c>
      <c r="F23" s="10" t="s">
        <v>1586</v>
      </c>
    </row>
    <row r="24" spans="1:6" ht="181.5" customHeight="1" x14ac:dyDescent="0.2">
      <c r="A24" s="8">
        <v>23</v>
      </c>
      <c r="B24" s="8" t="s">
        <v>1481</v>
      </c>
      <c r="C24" s="8" t="s">
        <v>64</v>
      </c>
      <c r="D24" s="8" t="s">
        <v>1009</v>
      </c>
      <c r="E24" s="9" t="s">
        <v>3</v>
      </c>
      <c r="F24" s="10" t="s">
        <v>1587</v>
      </c>
    </row>
    <row r="25" spans="1:6" ht="60" customHeight="1" x14ac:dyDescent="0.2">
      <c r="A25" s="8">
        <v>24</v>
      </c>
      <c r="B25" s="8" t="s">
        <v>1054</v>
      </c>
      <c r="C25" s="8" t="s">
        <v>64</v>
      </c>
      <c r="D25" s="8" t="s">
        <v>1055</v>
      </c>
      <c r="E25" s="9" t="s">
        <v>3</v>
      </c>
      <c r="F25" s="10" t="s">
        <v>1588</v>
      </c>
    </row>
    <row r="26" spans="1:6" ht="139.5" customHeight="1" x14ac:dyDescent="0.2">
      <c r="A26" s="8">
        <v>25</v>
      </c>
      <c r="B26" s="8" t="s">
        <v>1482</v>
      </c>
      <c r="C26" s="8" t="s">
        <v>218</v>
      </c>
      <c r="D26" s="8" t="s">
        <v>1009</v>
      </c>
      <c r="E26" s="9" t="s">
        <v>3</v>
      </c>
      <c r="F26" s="10" t="s">
        <v>1589</v>
      </c>
    </row>
    <row r="27" spans="1:6" ht="139.5" customHeight="1" x14ac:dyDescent="0.2">
      <c r="A27" s="8">
        <v>26</v>
      </c>
      <c r="B27" s="8" t="s">
        <v>1483</v>
      </c>
      <c r="C27" s="8" t="s">
        <v>332</v>
      </c>
      <c r="D27" s="8" t="s">
        <v>1009</v>
      </c>
      <c r="E27" s="9" t="s">
        <v>3</v>
      </c>
      <c r="F27" s="10" t="s">
        <v>1590</v>
      </c>
    </row>
    <row r="28" spans="1:6" ht="181.5" customHeight="1" x14ac:dyDescent="0.2">
      <c r="A28" s="8">
        <v>27</v>
      </c>
      <c r="B28" s="8" t="s">
        <v>1484</v>
      </c>
      <c r="C28" s="8" t="s">
        <v>43</v>
      </c>
      <c r="D28" s="8" t="s">
        <v>1009</v>
      </c>
      <c r="E28" s="9" t="s">
        <v>3</v>
      </c>
      <c r="F28" s="10" t="s">
        <v>1591</v>
      </c>
    </row>
    <row r="29" spans="1:6" ht="153.75" customHeight="1" x14ac:dyDescent="0.2">
      <c r="A29" s="8">
        <v>28</v>
      </c>
      <c r="B29" s="8" t="s">
        <v>1485</v>
      </c>
      <c r="C29" s="8" t="s">
        <v>207</v>
      </c>
      <c r="D29" s="8" t="s">
        <v>1009</v>
      </c>
      <c r="E29" s="9" t="s">
        <v>3</v>
      </c>
      <c r="F29" s="10" t="s">
        <v>1592</v>
      </c>
    </row>
    <row r="30" spans="1:6" ht="84" customHeight="1" x14ac:dyDescent="0.2">
      <c r="A30" s="8">
        <v>29</v>
      </c>
      <c r="B30" s="8" t="s">
        <v>1486</v>
      </c>
      <c r="C30" s="8" t="s">
        <v>1487</v>
      </c>
      <c r="D30" s="8" t="s">
        <v>1009</v>
      </c>
      <c r="E30" s="9" t="s">
        <v>3</v>
      </c>
      <c r="F30" s="10" t="s">
        <v>1593</v>
      </c>
    </row>
    <row r="31" spans="1:6" ht="153.75" customHeight="1" x14ac:dyDescent="0.2">
      <c r="A31" s="8">
        <v>30</v>
      </c>
      <c r="B31" s="8" t="s">
        <v>1488</v>
      </c>
      <c r="C31" s="8" t="s">
        <v>118</v>
      </c>
      <c r="D31" s="8" t="s">
        <v>1009</v>
      </c>
      <c r="E31" s="9" t="s">
        <v>3</v>
      </c>
      <c r="F31" s="10" t="s">
        <v>1594</v>
      </c>
    </row>
    <row r="32" spans="1:6" ht="69.75" customHeight="1" x14ac:dyDescent="0.2">
      <c r="A32" s="8">
        <v>31</v>
      </c>
      <c r="B32" s="8" t="s">
        <v>1056</v>
      </c>
      <c r="C32" s="8" t="s">
        <v>68</v>
      </c>
      <c r="D32" s="8" t="s">
        <v>1053</v>
      </c>
      <c r="E32" s="9" t="s">
        <v>3</v>
      </c>
      <c r="F32" s="10" t="s">
        <v>1595</v>
      </c>
    </row>
    <row r="33" spans="1:6" ht="97.5" customHeight="1" x14ac:dyDescent="0.2">
      <c r="A33" s="8">
        <v>32</v>
      </c>
      <c r="B33" s="8" t="s">
        <v>1071</v>
      </c>
      <c r="C33" s="8" t="s">
        <v>181</v>
      </c>
      <c r="D33" s="8" t="s">
        <v>1053</v>
      </c>
      <c r="E33" s="11" t="s">
        <v>4</v>
      </c>
      <c r="F33" s="10" t="s">
        <v>1596</v>
      </c>
    </row>
    <row r="34" spans="1:6" ht="223.5" customHeight="1" x14ac:dyDescent="0.2">
      <c r="A34" s="8">
        <v>33</v>
      </c>
      <c r="B34" s="8" t="s">
        <v>1489</v>
      </c>
      <c r="C34" s="8" t="s">
        <v>85</v>
      </c>
      <c r="D34" s="8" t="s">
        <v>1009</v>
      </c>
      <c r="E34" s="9" t="s">
        <v>3</v>
      </c>
      <c r="F34" s="10" t="s">
        <v>1597</v>
      </c>
    </row>
    <row r="35" spans="1:6" ht="195.75" customHeight="1" x14ac:dyDescent="0.2">
      <c r="A35" s="8">
        <v>34</v>
      </c>
      <c r="B35" s="8" t="s">
        <v>1490</v>
      </c>
      <c r="C35" s="8" t="s">
        <v>150</v>
      </c>
      <c r="D35" s="8" t="s">
        <v>1009</v>
      </c>
      <c r="E35" s="9" t="s">
        <v>3</v>
      </c>
      <c r="F35" s="10" t="s">
        <v>1598</v>
      </c>
    </row>
    <row r="36" spans="1:6" ht="153.75" customHeight="1" x14ac:dyDescent="0.2">
      <c r="A36" s="8">
        <v>35</v>
      </c>
      <c r="B36" s="8" t="s">
        <v>1491</v>
      </c>
      <c r="C36" s="8" t="s">
        <v>10</v>
      </c>
      <c r="D36" s="8" t="s">
        <v>1009</v>
      </c>
      <c r="E36" s="9" t="s">
        <v>3</v>
      </c>
      <c r="F36" s="10" t="s">
        <v>1599</v>
      </c>
    </row>
    <row r="37" spans="1:6" ht="181.5" customHeight="1" x14ac:dyDescent="0.2">
      <c r="A37" s="8">
        <v>36</v>
      </c>
      <c r="B37" s="8" t="s">
        <v>1492</v>
      </c>
      <c r="C37" s="8" t="s">
        <v>187</v>
      </c>
      <c r="D37" s="8" t="s">
        <v>1009</v>
      </c>
      <c r="E37" s="9" t="s">
        <v>3</v>
      </c>
      <c r="F37" s="10" t="s">
        <v>1600</v>
      </c>
    </row>
    <row r="38" spans="1:6" ht="60" customHeight="1" x14ac:dyDescent="0.2">
      <c r="A38" s="8">
        <v>37</v>
      </c>
      <c r="B38" s="8" t="s">
        <v>1072</v>
      </c>
      <c r="C38" s="8" t="s">
        <v>68</v>
      </c>
      <c r="D38" s="8" t="s">
        <v>1053</v>
      </c>
      <c r="E38" s="11" t="s">
        <v>4</v>
      </c>
      <c r="F38" s="10" t="s">
        <v>1601</v>
      </c>
    </row>
    <row r="39" spans="1:6" ht="126" customHeight="1" x14ac:dyDescent="0.2">
      <c r="A39" s="8">
        <v>38</v>
      </c>
      <c r="B39" s="8" t="s">
        <v>1073</v>
      </c>
      <c r="C39" s="8" t="s">
        <v>48</v>
      </c>
      <c r="D39" s="8" t="s">
        <v>1053</v>
      </c>
      <c r="E39" s="11" t="s">
        <v>4</v>
      </c>
      <c r="F39" s="10" t="s">
        <v>1602</v>
      </c>
    </row>
    <row r="40" spans="1:6" ht="153.75" customHeight="1" x14ac:dyDescent="0.2">
      <c r="A40" s="8">
        <v>39</v>
      </c>
      <c r="B40" s="8" t="s">
        <v>1493</v>
      </c>
      <c r="C40" s="8" t="s">
        <v>43</v>
      </c>
      <c r="D40" s="8" t="s">
        <v>1053</v>
      </c>
      <c r="E40" s="11" t="s">
        <v>4</v>
      </c>
      <c r="F40" s="10" t="s">
        <v>1603</v>
      </c>
    </row>
    <row r="41" spans="1:6" ht="126" customHeight="1" x14ac:dyDescent="0.2">
      <c r="A41" s="8">
        <v>40</v>
      </c>
      <c r="B41" s="8" t="s">
        <v>1074</v>
      </c>
      <c r="C41" s="8" t="s">
        <v>121</v>
      </c>
      <c r="D41" s="8" t="s">
        <v>1053</v>
      </c>
      <c r="E41" s="11" t="s">
        <v>4</v>
      </c>
      <c r="F41" s="10" t="s">
        <v>1604</v>
      </c>
    </row>
    <row r="42" spans="1:6" ht="60" customHeight="1" x14ac:dyDescent="0.2">
      <c r="A42" s="8">
        <v>41</v>
      </c>
      <c r="B42" s="8" t="s">
        <v>1057</v>
      </c>
      <c r="C42" s="8" t="s">
        <v>1494</v>
      </c>
      <c r="D42" s="8" t="s">
        <v>1058</v>
      </c>
      <c r="E42" s="9" t="s">
        <v>3</v>
      </c>
      <c r="F42" s="10" t="s">
        <v>1605</v>
      </c>
    </row>
    <row r="43" spans="1:6" ht="97.5" customHeight="1" x14ac:dyDescent="0.2">
      <c r="A43" s="8">
        <v>42</v>
      </c>
      <c r="B43" s="8" t="s">
        <v>1075</v>
      </c>
      <c r="C43" s="8" t="s">
        <v>283</v>
      </c>
      <c r="D43" s="8" t="s">
        <v>1053</v>
      </c>
      <c r="E43" s="11" t="s">
        <v>4</v>
      </c>
      <c r="F43" s="10" t="s">
        <v>1606</v>
      </c>
    </row>
    <row r="44" spans="1:6" ht="195.75" customHeight="1" x14ac:dyDescent="0.2">
      <c r="A44" s="8">
        <v>43</v>
      </c>
      <c r="B44" s="8" t="s">
        <v>1076</v>
      </c>
      <c r="C44" s="8" t="s">
        <v>98</v>
      </c>
      <c r="D44" s="8" t="s">
        <v>1053</v>
      </c>
      <c r="E44" s="11" t="s">
        <v>4</v>
      </c>
      <c r="F44" s="10" t="s">
        <v>1607</v>
      </c>
    </row>
    <row r="45" spans="1:6" ht="97.5" customHeight="1" x14ac:dyDescent="0.2">
      <c r="A45" s="8">
        <v>44</v>
      </c>
      <c r="B45" s="8" t="s">
        <v>1077</v>
      </c>
      <c r="C45" s="8" t="s">
        <v>58</v>
      </c>
      <c r="D45" s="8" t="s">
        <v>1053</v>
      </c>
      <c r="E45" s="11" t="s">
        <v>4</v>
      </c>
      <c r="F45" s="10" t="s">
        <v>1608</v>
      </c>
    </row>
    <row r="46" spans="1:6" ht="111.75" customHeight="1" x14ac:dyDescent="0.2">
      <c r="A46" s="8">
        <v>45</v>
      </c>
      <c r="B46" s="8" t="s">
        <v>1495</v>
      </c>
      <c r="C46" s="8" t="s">
        <v>271</v>
      </c>
      <c r="D46" s="8" t="s">
        <v>1053</v>
      </c>
      <c r="E46" s="12" t="s">
        <v>5</v>
      </c>
      <c r="F46" s="10" t="s">
        <v>1609</v>
      </c>
    </row>
    <row r="47" spans="1:6" ht="84" customHeight="1" x14ac:dyDescent="0.2">
      <c r="A47" s="8">
        <v>46</v>
      </c>
      <c r="B47" s="8" t="s">
        <v>1496</v>
      </c>
      <c r="C47" s="8" t="s">
        <v>79</v>
      </c>
      <c r="D47" s="8" t="s">
        <v>1053</v>
      </c>
      <c r="E47" s="9" t="s">
        <v>3</v>
      </c>
      <c r="F47" s="10" t="s">
        <v>1610</v>
      </c>
    </row>
    <row r="48" spans="1:6" ht="97.5" customHeight="1" x14ac:dyDescent="0.2">
      <c r="A48" s="8">
        <v>47</v>
      </c>
      <c r="B48" s="8" t="s">
        <v>1078</v>
      </c>
      <c r="C48" s="8" t="s">
        <v>332</v>
      </c>
      <c r="D48" s="8" t="s">
        <v>1055</v>
      </c>
      <c r="E48" s="11" t="s">
        <v>4</v>
      </c>
      <c r="F48" s="10" t="s">
        <v>1611</v>
      </c>
    </row>
    <row r="49" spans="1:6" ht="139.5" customHeight="1" x14ac:dyDescent="0.2">
      <c r="A49" s="8">
        <v>48</v>
      </c>
      <c r="B49" s="8" t="s">
        <v>1079</v>
      </c>
      <c r="C49" s="8" t="s">
        <v>226</v>
      </c>
      <c r="D49" s="8" t="s">
        <v>1055</v>
      </c>
      <c r="E49" s="11" t="s">
        <v>4</v>
      </c>
      <c r="F49" s="10" t="s">
        <v>1612</v>
      </c>
    </row>
    <row r="50" spans="1:6" ht="168" customHeight="1" x14ac:dyDescent="0.2">
      <c r="A50" s="8">
        <v>49</v>
      </c>
      <c r="B50" s="8" t="s">
        <v>1497</v>
      </c>
      <c r="C50" s="8" t="s">
        <v>98</v>
      </c>
      <c r="D50" s="8" t="s">
        <v>1009</v>
      </c>
      <c r="E50" s="9" t="s">
        <v>3</v>
      </c>
      <c r="F50" s="10" t="s">
        <v>1613</v>
      </c>
    </row>
    <row r="51" spans="1:6" ht="195.75" customHeight="1" x14ac:dyDescent="0.2">
      <c r="A51" s="8">
        <v>50</v>
      </c>
      <c r="B51" s="8" t="s">
        <v>1498</v>
      </c>
      <c r="C51" s="8" t="s">
        <v>207</v>
      </c>
      <c r="D51" s="8" t="s">
        <v>1009</v>
      </c>
      <c r="E51" s="9" t="s">
        <v>3</v>
      </c>
      <c r="F51" s="10" t="s">
        <v>1614</v>
      </c>
    </row>
    <row r="52" spans="1:6" ht="153.75" customHeight="1" x14ac:dyDescent="0.2">
      <c r="A52" s="8">
        <v>51</v>
      </c>
      <c r="B52" s="8" t="s">
        <v>203</v>
      </c>
      <c r="C52" s="8" t="s">
        <v>204</v>
      </c>
      <c r="D52" s="8" t="s">
        <v>1009</v>
      </c>
      <c r="E52" s="9" t="s">
        <v>3</v>
      </c>
      <c r="F52" s="10" t="s">
        <v>1615</v>
      </c>
    </row>
    <row r="53" spans="1:6" ht="69.75" customHeight="1" x14ac:dyDescent="0.2">
      <c r="A53" s="8">
        <v>52</v>
      </c>
      <c r="B53" s="8" t="s">
        <v>1499</v>
      </c>
      <c r="C53" s="8" t="s">
        <v>48</v>
      </c>
      <c r="D53" s="8" t="s">
        <v>1009</v>
      </c>
      <c r="E53" s="9" t="s">
        <v>3</v>
      </c>
      <c r="F53" s="10" t="s">
        <v>1616</v>
      </c>
    </row>
    <row r="54" spans="1:6" ht="195.75" customHeight="1" x14ac:dyDescent="0.2">
      <c r="A54" s="8">
        <v>53</v>
      </c>
      <c r="B54" s="8" t="s">
        <v>1500</v>
      </c>
      <c r="C54" s="8" t="s">
        <v>100</v>
      </c>
      <c r="D54" s="8" t="s">
        <v>1009</v>
      </c>
      <c r="E54" s="11" t="s">
        <v>4</v>
      </c>
      <c r="F54" s="10" t="s">
        <v>1617</v>
      </c>
    </row>
    <row r="55" spans="1:6" ht="139.5" customHeight="1" x14ac:dyDescent="0.2">
      <c r="A55" s="8">
        <v>54</v>
      </c>
      <c r="B55" s="8" t="s">
        <v>1501</v>
      </c>
      <c r="C55" s="8" t="s">
        <v>368</v>
      </c>
      <c r="D55" s="8" t="s">
        <v>1009</v>
      </c>
      <c r="E55" s="11" t="s">
        <v>4</v>
      </c>
      <c r="F55" s="10" t="s">
        <v>1618</v>
      </c>
    </row>
    <row r="56" spans="1:6" ht="252" customHeight="1" x14ac:dyDescent="0.2">
      <c r="A56" s="8">
        <v>55</v>
      </c>
      <c r="B56" s="8" t="s">
        <v>1502</v>
      </c>
      <c r="C56" s="8" t="s">
        <v>58</v>
      </c>
      <c r="D56" s="8" t="s">
        <v>1009</v>
      </c>
      <c r="E56" s="11" t="s">
        <v>4</v>
      </c>
      <c r="F56" s="10" t="s">
        <v>1619</v>
      </c>
    </row>
    <row r="57" spans="1:6" ht="139.5" customHeight="1" x14ac:dyDescent="0.2">
      <c r="A57" s="8">
        <v>56</v>
      </c>
      <c r="B57" s="8" t="s">
        <v>1503</v>
      </c>
      <c r="C57" s="8" t="s">
        <v>40</v>
      </c>
      <c r="D57" s="8" t="s">
        <v>1009</v>
      </c>
      <c r="E57" s="11" t="s">
        <v>4</v>
      </c>
      <c r="F57" s="10" t="s">
        <v>1620</v>
      </c>
    </row>
    <row r="58" spans="1:6" ht="237.75" customHeight="1" x14ac:dyDescent="0.2">
      <c r="A58" s="8">
        <v>57</v>
      </c>
      <c r="B58" s="8" t="s">
        <v>331</v>
      </c>
      <c r="C58" s="8" t="s">
        <v>332</v>
      </c>
      <c r="D58" s="8" t="s">
        <v>1009</v>
      </c>
      <c r="E58" s="11" t="s">
        <v>4</v>
      </c>
      <c r="F58" s="10" t="s">
        <v>1621</v>
      </c>
    </row>
    <row r="59" spans="1:6" ht="168" customHeight="1" x14ac:dyDescent="0.2">
      <c r="A59" s="8">
        <v>58</v>
      </c>
      <c r="B59" s="8" t="s">
        <v>1080</v>
      </c>
      <c r="C59" s="8" t="s">
        <v>207</v>
      </c>
      <c r="D59" s="8" t="s">
        <v>1055</v>
      </c>
      <c r="E59" s="11" t="s">
        <v>4</v>
      </c>
      <c r="F59" s="10" t="s">
        <v>1622</v>
      </c>
    </row>
    <row r="60" spans="1:6" ht="252" customHeight="1" x14ac:dyDescent="0.2">
      <c r="A60" s="8">
        <v>59</v>
      </c>
      <c r="B60" s="8" t="s">
        <v>1504</v>
      </c>
      <c r="C60" s="8" t="s">
        <v>29</v>
      </c>
      <c r="D60" s="8" t="s">
        <v>1108</v>
      </c>
      <c r="E60" s="12" t="s">
        <v>5</v>
      </c>
      <c r="F60" s="10" t="s">
        <v>1623</v>
      </c>
    </row>
    <row r="61" spans="1:6" ht="139.5" customHeight="1" x14ac:dyDescent="0.2">
      <c r="A61" s="8">
        <v>60</v>
      </c>
      <c r="B61" s="8" t="s">
        <v>1505</v>
      </c>
      <c r="C61" s="8" t="s">
        <v>87</v>
      </c>
      <c r="D61" s="8" t="s">
        <v>1053</v>
      </c>
      <c r="E61" s="12" t="s">
        <v>5</v>
      </c>
      <c r="F61" s="10" t="s">
        <v>1624</v>
      </c>
    </row>
    <row r="62" spans="1:6" ht="97.5" customHeight="1" x14ac:dyDescent="0.2">
      <c r="A62" s="8">
        <v>61</v>
      </c>
      <c r="B62" s="8" t="s">
        <v>1059</v>
      </c>
      <c r="C62" s="8" t="s">
        <v>231</v>
      </c>
      <c r="D62" s="8" t="s">
        <v>1060</v>
      </c>
      <c r="E62" s="9" t="s">
        <v>3</v>
      </c>
      <c r="F62" s="10" t="s">
        <v>1625</v>
      </c>
    </row>
    <row r="63" spans="1:6" ht="210" customHeight="1" x14ac:dyDescent="0.2">
      <c r="A63" s="8">
        <v>62</v>
      </c>
      <c r="B63" s="8" t="s">
        <v>1506</v>
      </c>
      <c r="C63" s="8" t="s">
        <v>405</v>
      </c>
      <c r="D63" s="8" t="s">
        <v>1009</v>
      </c>
      <c r="E63" s="11" t="s">
        <v>4</v>
      </c>
      <c r="F63" s="10" t="s">
        <v>1626</v>
      </c>
    </row>
    <row r="64" spans="1:6" ht="126" customHeight="1" x14ac:dyDescent="0.2">
      <c r="A64" s="8">
        <v>63</v>
      </c>
      <c r="B64" s="8" t="s">
        <v>1151</v>
      </c>
      <c r="C64" s="8" t="s">
        <v>40</v>
      </c>
      <c r="D64" s="8" t="s">
        <v>1060</v>
      </c>
      <c r="E64" s="11" t="s">
        <v>4</v>
      </c>
      <c r="F64" s="10" t="s">
        <v>1627</v>
      </c>
    </row>
    <row r="65" spans="1:6" ht="97.5" customHeight="1" x14ac:dyDescent="0.2">
      <c r="A65" s="8">
        <v>64</v>
      </c>
      <c r="B65" s="8" t="s">
        <v>1081</v>
      </c>
      <c r="C65" s="8" t="s">
        <v>204</v>
      </c>
      <c r="D65" s="8" t="s">
        <v>1053</v>
      </c>
      <c r="E65" s="11" t="s">
        <v>4</v>
      </c>
      <c r="F65" s="10" t="s">
        <v>1628</v>
      </c>
    </row>
    <row r="66" spans="1:6" ht="111.75" customHeight="1" x14ac:dyDescent="0.2">
      <c r="A66" s="8">
        <v>65</v>
      </c>
      <c r="B66" s="8" t="s">
        <v>1082</v>
      </c>
      <c r="C66" s="8" t="s">
        <v>38</v>
      </c>
      <c r="D66" s="8" t="s">
        <v>1053</v>
      </c>
      <c r="E66" s="11" t="s">
        <v>4</v>
      </c>
      <c r="F66" s="10" t="s">
        <v>1242</v>
      </c>
    </row>
    <row r="67" spans="1:6" ht="168" customHeight="1" x14ac:dyDescent="0.2">
      <c r="A67" s="8">
        <v>66</v>
      </c>
      <c r="B67" s="8" t="s">
        <v>1507</v>
      </c>
      <c r="C67" s="8" t="s">
        <v>160</v>
      </c>
      <c r="D67" s="8" t="s">
        <v>1053</v>
      </c>
      <c r="E67" s="12" t="s">
        <v>5</v>
      </c>
      <c r="F67" s="10" t="s">
        <v>1629</v>
      </c>
    </row>
    <row r="68" spans="1:6" ht="181.5" customHeight="1" x14ac:dyDescent="0.2">
      <c r="A68" s="8">
        <v>67</v>
      </c>
      <c r="B68" s="8" t="s">
        <v>1508</v>
      </c>
      <c r="C68" s="8" t="s">
        <v>197</v>
      </c>
      <c r="D68" s="8" t="s">
        <v>1009</v>
      </c>
      <c r="E68" s="11" t="s">
        <v>4</v>
      </c>
      <c r="F68" s="10" t="s">
        <v>1630</v>
      </c>
    </row>
    <row r="69" spans="1:6" ht="111.75" customHeight="1" x14ac:dyDescent="0.2">
      <c r="A69" s="8">
        <v>68</v>
      </c>
      <c r="B69" s="8" t="s">
        <v>1061</v>
      </c>
      <c r="C69" s="8" t="s">
        <v>204</v>
      </c>
      <c r="D69" s="8" t="s">
        <v>1053</v>
      </c>
      <c r="E69" s="9" t="s">
        <v>3</v>
      </c>
      <c r="F69" s="10" t="s">
        <v>1631</v>
      </c>
    </row>
    <row r="70" spans="1:6" ht="153.75" customHeight="1" x14ac:dyDescent="0.2">
      <c r="A70" s="8">
        <v>69</v>
      </c>
      <c r="B70" s="8" t="s">
        <v>1083</v>
      </c>
      <c r="C70" s="8" t="s">
        <v>98</v>
      </c>
      <c r="D70" s="8" t="s">
        <v>1053</v>
      </c>
      <c r="E70" s="11" t="s">
        <v>4</v>
      </c>
      <c r="F70" s="10" t="s">
        <v>1632</v>
      </c>
    </row>
    <row r="71" spans="1:6" ht="97.5" customHeight="1" x14ac:dyDescent="0.2">
      <c r="A71" s="8">
        <v>70</v>
      </c>
      <c r="B71" s="8" t="s">
        <v>1084</v>
      </c>
      <c r="C71" s="8" t="s">
        <v>121</v>
      </c>
      <c r="D71" s="8" t="s">
        <v>1053</v>
      </c>
      <c r="E71" s="11" t="s">
        <v>4</v>
      </c>
      <c r="F71" s="10" t="s">
        <v>1633</v>
      </c>
    </row>
    <row r="72" spans="1:6" ht="97.5" customHeight="1" x14ac:dyDescent="0.2">
      <c r="A72" s="8">
        <v>71</v>
      </c>
      <c r="B72" s="8" t="s">
        <v>1085</v>
      </c>
      <c r="C72" s="8" t="s">
        <v>43</v>
      </c>
      <c r="D72" s="8" t="s">
        <v>1086</v>
      </c>
      <c r="E72" s="11" t="s">
        <v>4</v>
      </c>
      <c r="F72" s="10" t="s">
        <v>1634</v>
      </c>
    </row>
    <row r="73" spans="1:6" ht="237.75" customHeight="1" x14ac:dyDescent="0.2">
      <c r="A73" s="8">
        <v>72</v>
      </c>
      <c r="B73" s="8" t="s">
        <v>1509</v>
      </c>
      <c r="C73" s="8" t="s">
        <v>327</v>
      </c>
      <c r="D73" s="8" t="s">
        <v>1009</v>
      </c>
      <c r="E73" s="9" t="s">
        <v>3</v>
      </c>
      <c r="F73" s="10" t="s">
        <v>1635</v>
      </c>
    </row>
    <row r="74" spans="1:6" ht="168" customHeight="1" x14ac:dyDescent="0.2">
      <c r="A74" s="8">
        <v>73</v>
      </c>
      <c r="B74" s="8" t="s">
        <v>1087</v>
      </c>
      <c r="C74" s="8" t="s">
        <v>64</v>
      </c>
      <c r="D74" s="8" t="s">
        <v>1053</v>
      </c>
      <c r="E74" s="11" t="s">
        <v>4</v>
      </c>
      <c r="F74" s="10" t="s">
        <v>1636</v>
      </c>
    </row>
    <row r="75" spans="1:6" ht="378" customHeight="1" x14ac:dyDescent="0.2">
      <c r="A75" s="8">
        <v>74</v>
      </c>
      <c r="B75" s="8" t="s">
        <v>1510</v>
      </c>
      <c r="C75" s="8" t="s">
        <v>58</v>
      </c>
      <c r="D75" s="8" t="s">
        <v>1009</v>
      </c>
      <c r="E75" s="11" t="s">
        <v>4</v>
      </c>
      <c r="F75" s="10" t="s">
        <v>1637</v>
      </c>
    </row>
    <row r="76" spans="1:6" ht="126" customHeight="1" x14ac:dyDescent="0.2">
      <c r="A76" s="8">
        <v>75</v>
      </c>
      <c r="B76" s="8" t="s">
        <v>1511</v>
      </c>
      <c r="C76" s="8" t="s">
        <v>345</v>
      </c>
      <c r="D76" s="8" t="s">
        <v>1009</v>
      </c>
      <c r="E76" s="9" t="s">
        <v>3</v>
      </c>
      <c r="F76" s="10" t="s">
        <v>1638</v>
      </c>
    </row>
    <row r="77" spans="1:6" ht="168" customHeight="1" x14ac:dyDescent="0.2">
      <c r="A77" s="8">
        <v>76</v>
      </c>
      <c r="B77" s="8" t="s">
        <v>1512</v>
      </c>
      <c r="C77" s="8" t="s">
        <v>72</v>
      </c>
      <c r="D77" s="8" t="s">
        <v>1009</v>
      </c>
      <c r="E77" s="11" t="s">
        <v>4</v>
      </c>
      <c r="F77" s="10" t="s">
        <v>1639</v>
      </c>
    </row>
    <row r="78" spans="1:6" ht="181.5" customHeight="1" x14ac:dyDescent="0.2">
      <c r="A78" s="8">
        <v>77</v>
      </c>
      <c r="B78" s="8" t="s">
        <v>1513</v>
      </c>
      <c r="C78" s="8" t="s">
        <v>60</v>
      </c>
      <c r="D78" s="8" t="s">
        <v>1009</v>
      </c>
      <c r="E78" s="11" t="s">
        <v>4</v>
      </c>
      <c r="F78" s="10" t="s">
        <v>1640</v>
      </c>
    </row>
    <row r="79" spans="1:6" ht="252" customHeight="1" x14ac:dyDescent="0.2">
      <c r="A79" s="8">
        <v>78</v>
      </c>
      <c r="B79" s="8" t="s">
        <v>1514</v>
      </c>
      <c r="C79" s="8" t="s">
        <v>51</v>
      </c>
      <c r="D79" s="8" t="s">
        <v>1009</v>
      </c>
      <c r="E79" s="11" t="s">
        <v>4</v>
      </c>
      <c r="F79" s="10" t="s">
        <v>1641</v>
      </c>
    </row>
    <row r="80" spans="1:6" ht="69.75" customHeight="1" x14ac:dyDescent="0.2">
      <c r="A80" s="8">
        <v>79</v>
      </c>
      <c r="B80" s="8" t="s">
        <v>1150</v>
      </c>
      <c r="C80" s="8" t="s">
        <v>40</v>
      </c>
      <c r="D80" s="8" t="s">
        <v>1063</v>
      </c>
      <c r="E80" s="9" t="s">
        <v>3</v>
      </c>
      <c r="F80" s="10" t="s">
        <v>1305</v>
      </c>
    </row>
    <row r="81" spans="1:6" ht="195.75" customHeight="1" x14ac:dyDescent="0.2">
      <c r="A81" s="8">
        <v>80</v>
      </c>
      <c r="B81" s="8" t="s">
        <v>1515</v>
      </c>
      <c r="C81" s="8" t="s">
        <v>79</v>
      </c>
      <c r="D81" s="8" t="s">
        <v>1009</v>
      </c>
      <c r="E81" s="11" t="s">
        <v>4</v>
      </c>
      <c r="F81" s="10" t="s">
        <v>1642</v>
      </c>
    </row>
    <row r="82" spans="1:6" ht="111.75" customHeight="1" x14ac:dyDescent="0.2">
      <c r="A82" s="8">
        <v>81</v>
      </c>
      <c r="B82" s="8" t="s">
        <v>1062</v>
      </c>
      <c r="C82" s="8" t="s">
        <v>98</v>
      </c>
      <c r="D82" s="8" t="s">
        <v>1063</v>
      </c>
      <c r="E82" s="9" t="s">
        <v>3</v>
      </c>
      <c r="F82" s="10" t="s">
        <v>1224</v>
      </c>
    </row>
    <row r="83" spans="1:6" ht="84" customHeight="1" x14ac:dyDescent="0.2">
      <c r="A83" s="8">
        <v>82</v>
      </c>
      <c r="B83" s="8" t="s">
        <v>1147</v>
      </c>
      <c r="C83" s="8" t="s">
        <v>40</v>
      </c>
      <c r="D83" s="8" t="s">
        <v>1063</v>
      </c>
      <c r="E83" s="9" t="s">
        <v>3</v>
      </c>
      <c r="F83" s="10" t="s">
        <v>1302</v>
      </c>
    </row>
    <row r="84" spans="1:6" ht="60" customHeight="1" x14ac:dyDescent="0.2">
      <c r="A84" s="8">
        <v>83</v>
      </c>
      <c r="B84" s="8" t="s">
        <v>1064</v>
      </c>
      <c r="C84" s="8" t="s">
        <v>187</v>
      </c>
      <c r="D84" s="8" t="s">
        <v>1065</v>
      </c>
      <c r="E84" s="9" t="s">
        <v>3</v>
      </c>
      <c r="F84" s="10" t="s">
        <v>1225</v>
      </c>
    </row>
    <row r="85" spans="1:6" ht="111.75" customHeight="1" x14ac:dyDescent="0.2">
      <c r="A85" s="8">
        <v>84</v>
      </c>
      <c r="B85" s="8" t="s">
        <v>1516</v>
      </c>
      <c r="C85" s="8" t="s">
        <v>43</v>
      </c>
      <c r="D85" s="8" t="s">
        <v>1476</v>
      </c>
      <c r="E85" s="9" t="s">
        <v>3</v>
      </c>
      <c r="F85" s="10" t="s">
        <v>1643</v>
      </c>
    </row>
    <row r="86" spans="1:6" ht="60" customHeight="1" x14ac:dyDescent="0.2">
      <c r="A86" s="8">
        <v>85</v>
      </c>
      <c r="B86" s="8" t="s">
        <v>1517</v>
      </c>
      <c r="C86" s="8" t="s">
        <v>90</v>
      </c>
      <c r="D86" s="8" t="s">
        <v>1086</v>
      </c>
      <c r="E86" s="9" t="s">
        <v>3</v>
      </c>
      <c r="F86" s="10" t="s">
        <v>1644</v>
      </c>
    </row>
    <row r="87" spans="1:6" ht="69.75" customHeight="1" x14ac:dyDescent="0.2">
      <c r="A87" s="8">
        <v>86</v>
      </c>
      <c r="B87" s="8" t="s">
        <v>1518</v>
      </c>
      <c r="C87" s="8" t="s">
        <v>87</v>
      </c>
      <c r="D87" s="8" t="s">
        <v>1086</v>
      </c>
      <c r="E87" s="9" t="s">
        <v>3</v>
      </c>
      <c r="F87" s="10" t="s">
        <v>1645</v>
      </c>
    </row>
    <row r="88" spans="1:6" ht="60" customHeight="1" x14ac:dyDescent="0.2">
      <c r="A88" s="8">
        <v>87</v>
      </c>
      <c r="B88" s="8" t="s">
        <v>1519</v>
      </c>
      <c r="C88" s="8" t="s">
        <v>60</v>
      </c>
      <c r="D88" s="8" t="s">
        <v>1086</v>
      </c>
      <c r="E88" s="9" t="s">
        <v>3</v>
      </c>
      <c r="F88" s="10" t="s">
        <v>1646</v>
      </c>
    </row>
    <row r="89" spans="1:6" ht="84" customHeight="1" x14ac:dyDescent="0.2">
      <c r="A89" s="8">
        <v>88</v>
      </c>
      <c r="B89" s="8" t="s">
        <v>1520</v>
      </c>
      <c r="C89" s="8" t="s">
        <v>354</v>
      </c>
      <c r="D89" s="8" t="s">
        <v>1086</v>
      </c>
      <c r="E89" s="9" t="s">
        <v>3</v>
      </c>
      <c r="F89" s="10" t="s">
        <v>1647</v>
      </c>
    </row>
    <row r="90" spans="1:6" ht="84" customHeight="1" x14ac:dyDescent="0.2">
      <c r="A90" s="8">
        <v>89</v>
      </c>
      <c r="B90" s="8" t="s">
        <v>1521</v>
      </c>
      <c r="C90" s="8" t="s">
        <v>112</v>
      </c>
      <c r="D90" s="8" t="s">
        <v>1086</v>
      </c>
      <c r="E90" s="9" t="s">
        <v>3</v>
      </c>
      <c r="F90" s="10" t="s">
        <v>1648</v>
      </c>
    </row>
    <row r="91" spans="1:6" ht="126" customHeight="1" x14ac:dyDescent="0.2">
      <c r="A91" s="8">
        <v>90</v>
      </c>
      <c r="B91" s="8" t="s">
        <v>1522</v>
      </c>
      <c r="C91" s="8" t="s">
        <v>179</v>
      </c>
      <c r="D91" s="8" t="s">
        <v>1086</v>
      </c>
      <c r="E91" s="11" t="s">
        <v>4</v>
      </c>
      <c r="F91" s="10" t="s">
        <v>1649</v>
      </c>
    </row>
    <row r="92" spans="1:6" ht="84" customHeight="1" x14ac:dyDescent="0.2">
      <c r="A92" s="8">
        <v>91</v>
      </c>
      <c r="B92" s="8" t="s">
        <v>1523</v>
      </c>
      <c r="C92" s="8" t="s">
        <v>327</v>
      </c>
      <c r="D92" s="8" t="s">
        <v>1053</v>
      </c>
      <c r="E92" s="11" t="s">
        <v>4</v>
      </c>
      <c r="F92" s="10" t="s">
        <v>1650</v>
      </c>
    </row>
    <row r="93" spans="1:6" ht="84" customHeight="1" x14ac:dyDescent="0.2">
      <c r="A93" s="8">
        <v>92</v>
      </c>
      <c r="B93" s="8" t="s">
        <v>1524</v>
      </c>
      <c r="C93" s="8" t="s">
        <v>150</v>
      </c>
      <c r="D93" s="8" t="s">
        <v>1086</v>
      </c>
      <c r="E93" s="9" t="s">
        <v>3</v>
      </c>
      <c r="F93" s="10" t="s">
        <v>1651</v>
      </c>
    </row>
    <row r="94" spans="1:6" ht="126" customHeight="1" x14ac:dyDescent="0.2">
      <c r="A94" s="8">
        <v>93</v>
      </c>
      <c r="B94" s="8" t="s">
        <v>1525</v>
      </c>
      <c r="C94" s="8" t="s">
        <v>48</v>
      </c>
      <c r="D94" s="8" t="s">
        <v>1086</v>
      </c>
      <c r="E94" s="11" t="s">
        <v>4</v>
      </c>
      <c r="F94" s="10" t="s">
        <v>1652</v>
      </c>
    </row>
    <row r="95" spans="1:6" ht="84" customHeight="1" x14ac:dyDescent="0.2">
      <c r="A95" s="8">
        <v>94</v>
      </c>
      <c r="B95" s="8" t="s">
        <v>1526</v>
      </c>
      <c r="C95" s="8" t="s">
        <v>207</v>
      </c>
      <c r="D95" s="8" t="s">
        <v>1009</v>
      </c>
      <c r="E95" s="9" t="s">
        <v>3</v>
      </c>
      <c r="F95" s="10" t="s">
        <v>1653</v>
      </c>
    </row>
    <row r="96" spans="1:6" ht="168" customHeight="1" x14ac:dyDescent="0.2">
      <c r="A96" s="8">
        <v>95</v>
      </c>
      <c r="B96" s="8" t="s">
        <v>1527</v>
      </c>
      <c r="C96" s="8" t="s">
        <v>131</v>
      </c>
      <c r="D96" s="8" t="s">
        <v>1009</v>
      </c>
      <c r="E96" s="11" t="s">
        <v>4</v>
      </c>
      <c r="F96" s="10" t="s">
        <v>1654</v>
      </c>
    </row>
    <row r="97" spans="1:6" ht="181.5" customHeight="1" x14ac:dyDescent="0.2">
      <c r="A97" s="8">
        <v>96</v>
      </c>
      <c r="B97" s="8" t="s">
        <v>1528</v>
      </c>
      <c r="C97" s="8" t="s">
        <v>1487</v>
      </c>
      <c r="D97" s="8" t="s">
        <v>1009</v>
      </c>
      <c r="E97" s="9" t="s">
        <v>3</v>
      </c>
      <c r="F97" s="10" t="s">
        <v>1655</v>
      </c>
    </row>
    <row r="98" spans="1:6" ht="168" customHeight="1" x14ac:dyDescent="0.2">
      <c r="A98" s="8">
        <v>97</v>
      </c>
      <c r="B98" s="8" t="s">
        <v>333</v>
      </c>
      <c r="C98" s="8" t="s">
        <v>204</v>
      </c>
      <c r="D98" s="8" t="s">
        <v>1009</v>
      </c>
      <c r="E98" s="11" t="s">
        <v>4</v>
      </c>
      <c r="F98" s="10" t="s">
        <v>1656</v>
      </c>
    </row>
    <row r="99" spans="1:6" ht="139.5" customHeight="1" x14ac:dyDescent="0.2">
      <c r="A99" s="8">
        <v>98</v>
      </c>
      <c r="B99" s="8" t="s">
        <v>335</v>
      </c>
      <c r="C99" s="8" t="s">
        <v>271</v>
      </c>
      <c r="D99" s="8" t="s">
        <v>1009</v>
      </c>
      <c r="E99" s="11" t="s">
        <v>4</v>
      </c>
      <c r="F99" s="10" t="s">
        <v>1657</v>
      </c>
    </row>
    <row r="100" spans="1:6" ht="153.75" customHeight="1" x14ac:dyDescent="0.2">
      <c r="A100" s="8">
        <v>99</v>
      </c>
      <c r="B100" s="8" t="s">
        <v>336</v>
      </c>
      <c r="C100" s="8" t="s">
        <v>121</v>
      </c>
      <c r="D100" s="8" t="s">
        <v>1009</v>
      </c>
      <c r="E100" s="11" t="s">
        <v>4</v>
      </c>
      <c r="F100" s="10" t="s">
        <v>1658</v>
      </c>
    </row>
    <row r="101" spans="1:6" ht="252" customHeight="1" x14ac:dyDescent="0.2">
      <c r="A101" s="8">
        <v>100</v>
      </c>
      <c r="B101" s="8" t="s">
        <v>430</v>
      </c>
      <c r="C101" s="8" t="s">
        <v>160</v>
      </c>
      <c r="D101" s="8" t="s">
        <v>1009</v>
      </c>
      <c r="E101" s="12" t="s">
        <v>5</v>
      </c>
      <c r="F101" s="10" t="s">
        <v>1659</v>
      </c>
    </row>
    <row r="102" spans="1:6" ht="363.75" customHeight="1" x14ac:dyDescent="0.2">
      <c r="A102" s="8">
        <v>101</v>
      </c>
      <c r="B102" s="8" t="s">
        <v>1529</v>
      </c>
      <c r="C102" s="8" t="s">
        <v>62</v>
      </c>
      <c r="D102" s="8" t="s">
        <v>1009</v>
      </c>
      <c r="E102" s="12" t="s">
        <v>5</v>
      </c>
      <c r="F102" s="10" t="s">
        <v>1660</v>
      </c>
    </row>
    <row r="103" spans="1:6" ht="252" customHeight="1" x14ac:dyDescent="0.2">
      <c r="A103" s="8">
        <v>102</v>
      </c>
      <c r="B103" s="8" t="s">
        <v>337</v>
      </c>
      <c r="C103" s="8" t="s">
        <v>90</v>
      </c>
      <c r="D103" s="8" t="s">
        <v>1009</v>
      </c>
      <c r="E103" s="11" t="s">
        <v>4</v>
      </c>
      <c r="F103" s="10" t="s">
        <v>1661</v>
      </c>
    </row>
    <row r="104" spans="1:6" ht="111.75" customHeight="1" x14ac:dyDescent="0.2">
      <c r="A104" s="8">
        <v>103</v>
      </c>
      <c r="B104" s="8" t="s">
        <v>1530</v>
      </c>
      <c r="C104" s="8" t="s">
        <v>187</v>
      </c>
      <c r="D104" s="8" t="s">
        <v>1009</v>
      </c>
      <c r="E104" s="11" t="s">
        <v>4</v>
      </c>
      <c r="F104" s="10" t="s">
        <v>1662</v>
      </c>
    </row>
    <row r="105" spans="1:6" ht="168" customHeight="1" x14ac:dyDescent="0.2">
      <c r="A105" s="8">
        <v>104</v>
      </c>
      <c r="B105" s="8" t="s">
        <v>1531</v>
      </c>
      <c r="C105" s="8" t="s">
        <v>179</v>
      </c>
      <c r="D105" s="8" t="s">
        <v>1009</v>
      </c>
      <c r="E105" s="12" t="s">
        <v>5</v>
      </c>
      <c r="F105" s="10" t="s">
        <v>1663</v>
      </c>
    </row>
    <row r="106" spans="1:6" ht="195.75" customHeight="1" x14ac:dyDescent="0.2">
      <c r="A106" s="8">
        <v>105</v>
      </c>
      <c r="B106" s="8" t="s">
        <v>431</v>
      </c>
      <c r="C106" s="8" t="s">
        <v>218</v>
      </c>
      <c r="D106" s="8" t="s">
        <v>1009</v>
      </c>
      <c r="E106" s="12" t="s">
        <v>5</v>
      </c>
      <c r="F106" s="10" t="s">
        <v>1664</v>
      </c>
    </row>
    <row r="107" spans="1:6" ht="168" customHeight="1" x14ac:dyDescent="0.2">
      <c r="A107" s="8">
        <v>106</v>
      </c>
      <c r="B107" s="8" t="s">
        <v>1532</v>
      </c>
      <c r="C107" s="8" t="s">
        <v>1350</v>
      </c>
      <c r="D107" s="8" t="s">
        <v>1009</v>
      </c>
      <c r="E107" s="12" t="s">
        <v>5</v>
      </c>
      <c r="F107" s="10" t="s">
        <v>1665</v>
      </c>
    </row>
    <row r="108" spans="1:6" ht="168" customHeight="1" x14ac:dyDescent="0.2">
      <c r="A108" s="8">
        <v>107</v>
      </c>
      <c r="B108" s="8" t="s">
        <v>1533</v>
      </c>
      <c r="C108" s="8" t="s">
        <v>68</v>
      </c>
      <c r="D108" s="8" t="s">
        <v>1009</v>
      </c>
      <c r="E108" s="12" t="s">
        <v>5</v>
      </c>
      <c r="F108" s="10" t="s">
        <v>1666</v>
      </c>
    </row>
    <row r="109" spans="1:6" ht="391.5" customHeight="1" x14ac:dyDescent="0.2">
      <c r="A109" s="8">
        <v>108</v>
      </c>
      <c r="B109" s="8" t="s">
        <v>1534</v>
      </c>
      <c r="C109" s="8" t="s">
        <v>90</v>
      </c>
      <c r="D109" s="8" t="s">
        <v>1009</v>
      </c>
      <c r="E109" s="12" t="s">
        <v>5</v>
      </c>
      <c r="F109" s="10" t="s">
        <v>1667</v>
      </c>
    </row>
    <row r="110" spans="1:6" ht="210" customHeight="1" x14ac:dyDescent="0.2">
      <c r="A110" s="8">
        <v>109</v>
      </c>
      <c r="B110" s="8" t="s">
        <v>1535</v>
      </c>
      <c r="C110" s="8" t="s">
        <v>226</v>
      </c>
      <c r="D110" s="8" t="s">
        <v>1009</v>
      </c>
      <c r="E110" s="11" t="s">
        <v>4</v>
      </c>
      <c r="F110" s="10" t="s">
        <v>1668</v>
      </c>
    </row>
    <row r="111" spans="1:6" ht="279.75" customHeight="1" x14ac:dyDescent="0.2">
      <c r="A111" s="8">
        <v>110</v>
      </c>
      <c r="B111" s="8" t="s">
        <v>1536</v>
      </c>
      <c r="C111" s="8" t="s">
        <v>191</v>
      </c>
      <c r="D111" s="8" t="s">
        <v>1009</v>
      </c>
      <c r="E111" s="11" t="s">
        <v>4</v>
      </c>
      <c r="F111" s="10" t="s">
        <v>1669</v>
      </c>
    </row>
    <row r="112" spans="1:6" ht="195.75" customHeight="1" x14ac:dyDescent="0.2">
      <c r="A112" s="8">
        <v>111</v>
      </c>
      <c r="B112" s="8" t="s">
        <v>1537</v>
      </c>
      <c r="C112" s="8" t="s">
        <v>160</v>
      </c>
      <c r="D112" s="8" t="s">
        <v>1009</v>
      </c>
      <c r="E112" s="9" t="s">
        <v>3</v>
      </c>
      <c r="F112" s="10" t="s">
        <v>1670</v>
      </c>
    </row>
    <row r="113" spans="1:6" ht="237.75" customHeight="1" x14ac:dyDescent="0.2">
      <c r="A113" s="8">
        <v>112</v>
      </c>
      <c r="B113" s="8" t="s">
        <v>1538</v>
      </c>
      <c r="C113" s="8" t="s">
        <v>60</v>
      </c>
      <c r="D113" s="8" t="s">
        <v>1053</v>
      </c>
      <c r="E113" s="12" t="s">
        <v>5</v>
      </c>
      <c r="F113" s="10" t="s">
        <v>1671</v>
      </c>
    </row>
    <row r="114" spans="1:6" ht="153.75" customHeight="1" x14ac:dyDescent="0.2">
      <c r="A114" s="8">
        <v>113</v>
      </c>
      <c r="B114" s="8" t="s">
        <v>1149</v>
      </c>
      <c r="C114" s="8" t="s">
        <v>48</v>
      </c>
      <c r="D114" s="8" t="s">
        <v>1063</v>
      </c>
      <c r="E114" s="11" t="s">
        <v>4</v>
      </c>
      <c r="F114" s="10" t="s">
        <v>1672</v>
      </c>
    </row>
    <row r="115" spans="1:6" ht="84" customHeight="1" x14ac:dyDescent="0.2">
      <c r="A115" s="8">
        <v>114</v>
      </c>
      <c r="B115" s="8" t="s">
        <v>1088</v>
      </c>
      <c r="C115" s="8" t="s">
        <v>68</v>
      </c>
      <c r="D115" s="8" t="s">
        <v>1063</v>
      </c>
      <c r="E115" s="11" t="s">
        <v>4</v>
      </c>
      <c r="F115" s="10" t="s">
        <v>1247</v>
      </c>
    </row>
    <row r="116" spans="1:6" ht="153.75" customHeight="1" x14ac:dyDescent="0.2">
      <c r="A116" s="8">
        <v>115</v>
      </c>
      <c r="B116" s="8" t="s">
        <v>1148</v>
      </c>
      <c r="C116" s="8" t="s">
        <v>29</v>
      </c>
      <c r="D116" s="8" t="s">
        <v>1063</v>
      </c>
      <c r="E116" s="11" t="s">
        <v>4</v>
      </c>
      <c r="F116" s="10" t="s">
        <v>1303</v>
      </c>
    </row>
    <row r="117" spans="1:6" ht="126" customHeight="1" x14ac:dyDescent="0.2">
      <c r="A117" s="8">
        <v>116</v>
      </c>
      <c r="B117" s="8" t="s">
        <v>1089</v>
      </c>
      <c r="C117" s="8" t="s">
        <v>40</v>
      </c>
      <c r="D117" s="8" t="s">
        <v>1063</v>
      </c>
      <c r="E117" s="11" t="s">
        <v>4</v>
      </c>
      <c r="F117" s="10" t="s">
        <v>1248</v>
      </c>
    </row>
    <row r="118" spans="1:6" ht="153.75" customHeight="1" x14ac:dyDescent="0.2">
      <c r="A118" s="8">
        <v>117</v>
      </c>
      <c r="B118" s="8" t="s">
        <v>1539</v>
      </c>
      <c r="C118" s="8" t="s">
        <v>226</v>
      </c>
      <c r="D118" s="8" t="s">
        <v>1053</v>
      </c>
      <c r="E118" s="11" t="s">
        <v>4</v>
      </c>
      <c r="F118" s="10" t="s">
        <v>1673</v>
      </c>
    </row>
    <row r="119" spans="1:6" ht="168" customHeight="1" x14ac:dyDescent="0.2">
      <c r="A119" s="8">
        <v>118</v>
      </c>
      <c r="B119" s="8" t="s">
        <v>1540</v>
      </c>
      <c r="C119" s="8" t="s">
        <v>58</v>
      </c>
      <c r="D119" s="8" t="s">
        <v>1063</v>
      </c>
      <c r="E119" s="12" t="s">
        <v>5</v>
      </c>
      <c r="F119" s="10" t="s">
        <v>1674</v>
      </c>
    </row>
    <row r="120" spans="1:6" ht="181.5" customHeight="1" x14ac:dyDescent="0.2">
      <c r="A120" s="8">
        <v>119</v>
      </c>
      <c r="B120" s="8" t="s">
        <v>1541</v>
      </c>
      <c r="C120" s="8" t="s">
        <v>105</v>
      </c>
      <c r="D120" s="8" t="s">
        <v>1063</v>
      </c>
      <c r="E120" s="12" t="s">
        <v>5</v>
      </c>
      <c r="F120" s="10" t="s">
        <v>1675</v>
      </c>
    </row>
    <row r="121" spans="1:6" ht="60" customHeight="1" x14ac:dyDescent="0.2">
      <c r="A121" s="8">
        <v>120</v>
      </c>
      <c r="B121" s="8" t="s">
        <v>1066</v>
      </c>
      <c r="C121" s="8" t="s">
        <v>40</v>
      </c>
      <c r="D121" s="8" t="s">
        <v>1065</v>
      </c>
      <c r="E121" s="9" t="s">
        <v>3</v>
      </c>
      <c r="F121" s="10" t="s">
        <v>1226</v>
      </c>
    </row>
    <row r="122" spans="1:6" ht="126" customHeight="1" x14ac:dyDescent="0.2">
      <c r="A122" s="8">
        <v>121</v>
      </c>
      <c r="B122" s="8" t="s">
        <v>1067</v>
      </c>
      <c r="C122" s="8" t="s">
        <v>90</v>
      </c>
      <c r="D122" s="8" t="s">
        <v>1065</v>
      </c>
      <c r="E122" s="9" t="s">
        <v>3</v>
      </c>
      <c r="F122" s="10" t="s">
        <v>1676</v>
      </c>
    </row>
    <row r="123" spans="1:6" ht="97.5" customHeight="1" x14ac:dyDescent="0.2">
      <c r="A123" s="8">
        <v>122</v>
      </c>
      <c r="B123" s="8" t="s">
        <v>1068</v>
      </c>
      <c r="C123" s="8" t="s">
        <v>179</v>
      </c>
      <c r="D123" s="8" t="s">
        <v>1065</v>
      </c>
      <c r="E123" s="9" t="s">
        <v>3</v>
      </c>
      <c r="F123" s="10" t="s">
        <v>1677</v>
      </c>
    </row>
    <row r="124" spans="1:6" ht="60" customHeight="1" x14ac:dyDescent="0.2">
      <c r="A124" s="8">
        <v>123</v>
      </c>
      <c r="B124" s="8" t="s">
        <v>1069</v>
      </c>
      <c r="C124" s="8" t="s">
        <v>207</v>
      </c>
      <c r="D124" s="8" t="s">
        <v>1065</v>
      </c>
      <c r="E124" s="9" t="s">
        <v>3</v>
      </c>
      <c r="F124" s="10" t="s">
        <v>1229</v>
      </c>
    </row>
    <row r="125" spans="1:6" ht="60" customHeight="1" x14ac:dyDescent="0.2">
      <c r="A125" s="8">
        <v>124</v>
      </c>
      <c r="B125" s="8" t="s">
        <v>1070</v>
      </c>
      <c r="C125" s="8" t="s">
        <v>48</v>
      </c>
      <c r="D125" s="8" t="s">
        <v>1065</v>
      </c>
      <c r="E125" s="9" t="s">
        <v>3</v>
      </c>
      <c r="F125" s="10" t="s">
        <v>1230</v>
      </c>
    </row>
    <row r="126" spans="1:6" ht="69.75" customHeight="1" x14ac:dyDescent="0.2">
      <c r="A126" s="8">
        <v>125</v>
      </c>
      <c r="B126" s="8" t="s">
        <v>1090</v>
      </c>
      <c r="C126" s="8" t="s">
        <v>345</v>
      </c>
      <c r="D126" s="8" t="s">
        <v>1065</v>
      </c>
      <c r="E126" s="11" t="s">
        <v>4</v>
      </c>
      <c r="F126" s="10" t="s">
        <v>1249</v>
      </c>
    </row>
    <row r="127" spans="1:6" ht="181.5" customHeight="1" x14ac:dyDescent="0.2">
      <c r="A127" s="8">
        <v>126</v>
      </c>
      <c r="B127" s="8" t="s">
        <v>1091</v>
      </c>
      <c r="C127" s="8" t="s">
        <v>90</v>
      </c>
      <c r="D127" s="8" t="s">
        <v>1065</v>
      </c>
      <c r="E127" s="11" t="s">
        <v>4</v>
      </c>
      <c r="F127" s="10" t="s">
        <v>1678</v>
      </c>
    </row>
    <row r="128" spans="1:6" ht="181.5" customHeight="1" x14ac:dyDescent="0.2">
      <c r="A128" s="8">
        <v>127</v>
      </c>
      <c r="B128" s="8" t="s">
        <v>1146</v>
      </c>
      <c r="C128" s="8" t="s">
        <v>60</v>
      </c>
      <c r="D128" s="8" t="s">
        <v>1065</v>
      </c>
      <c r="E128" s="11" t="s">
        <v>4</v>
      </c>
      <c r="F128" s="10" t="s">
        <v>1679</v>
      </c>
    </row>
    <row r="129" spans="1:6" ht="97.5" customHeight="1" x14ac:dyDescent="0.2">
      <c r="A129" s="8">
        <v>128</v>
      </c>
      <c r="B129" s="8" t="s">
        <v>1542</v>
      </c>
      <c r="C129" s="8" t="s">
        <v>118</v>
      </c>
      <c r="D129" s="8" t="s">
        <v>1065</v>
      </c>
      <c r="E129" s="11" t="s">
        <v>4</v>
      </c>
      <c r="F129" s="10" t="s">
        <v>1680</v>
      </c>
    </row>
    <row r="130" spans="1:6" ht="60" customHeight="1" x14ac:dyDescent="0.2">
      <c r="A130" s="8">
        <v>129</v>
      </c>
      <c r="B130" s="8" t="s">
        <v>1092</v>
      </c>
      <c r="C130" s="8" t="s">
        <v>98</v>
      </c>
      <c r="D130" s="8" t="s">
        <v>1065</v>
      </c>
      <c r="E130" s="11" t="s">
        <v>4</v>
      </c>
      <c r="F130" s="10" t="s">
        <v>1251</v>
      </c>
    </row>
    <row r="131" spans="1:6" ht="97.5" customHeight="1" x14ac:dyDescent="0.2">
      <c r="A131" s="8">
        <v>130</v>
      </c>
      <c r="B131" s="8" t="s">
        <v>1093</v>
      </c>
      <c r="C131" s="8" t="s">
        <v>62</v>
      </c>
      <c r="D131" s="8" t="s">
        <v>1065</v>
      </c>
      <c r="E131" s="11" t="s">
        <v>4</v>
      </c>
      <c r="F131" s="10" t="s">
        <v>1252</v>
      </c>
    </row>
    <row r="132" spans="1:6" ht="153.75" customHeight="1" x14ac:dyDescent="0.2">
      <c r="A132" s="8">
        <v>131</v>
      </c>
      <c r="B132" s="8" t="s">
        <v>1543</v>
      </c>
      <c r="C132" s="8" t="s">
        <v>43</v>
      </c>
      <c r="D132" s="8" t="s">
        <v>1065</v>
      </c>
      <c r="E132" s="11" t="s">
        <v>4</v>
      </c>
      <c r="F132" s="10" t="s">
        <v>1681</v>
      </c>
    </row>
    <row r="133" spans="1:6" ht="139.5" customHeight="1" x14ac:dyDescent="0.2">
      <c r="A133" s="8">
        <v>132</v>
      </c>
      <c r="B133" s="8" t="s">
        <v>1544</v>
      </c>
      <c r="C133" s="8" t="s">
        <v>62</v>
      </c>
      <c r="D133" s="8" t="s">
        <v>1065</v>
      </c>
      <c r="E133" s="12" t="s">
        <v>5</v>
      </c>
      <c r="F133" s="10" t="s">
        <v>1682</v>
      </c>
    </row>
    <row r="134" spans="1:6" ht="307.5" customHeight="1" x14ac:dyDescent="0.2">
      <c r="A134" s="8">
        <v>133</v>
      </c>
      <c r="B134" s="8" t="s">
        <v>1545</v>
      </c>
      <c r="C134" s="8" t="s">
        <v>90</v>
      </c>
      <c r="D134" s="8" t="s">
        <v>1053</v>
      </c>
      <c r="E134" s="12" t="s">
        <v>5</v>
      </c>
      <c r="F134" s="10" t="s">
        <v>1683</v>
      </c>
    </row>
    <row r="135" spans="1:6" ht="60" customHeight="1" x14ac:dyDescent="0.2">
      <c r="A135" s="8">
        <v>134</v>
      </c>
      <c r="B135" s="8" t="s">
        <v>1094</v>
      </c>
      <c r="C135" s="8" t="s">
        <v>90</v>
      </c>
      <c r="D135" s="8" t="s">
        <v>1053</v>
      </c>
      <c r="E135" s="11" t="s">
        <v>4</v>
      </c>
      <c r="F135" s="10" t="s">
        <v>1684</v>
      </c>
    </row>
    <row r="136" spans="1:6" ht="60" customHeight="1" x14ac:dyDescent="0.2">
      <c r="A136" s="8">
        <v>135</v>
      </c>
      <c r="B136" s="8" t="s">
        <v>1095</v>
      </c>
      <c r="C136" s="8" t="s">
        <v>112</v>
      </c>
      <c r="D136" s="8" t="s">
        <v>1053</v>
      </c>
      <c r="E136" s="11" t="s">
        <v>4</v>
      </c>
      <c r="F136" s="10" t="s">
        <v>1685</v>
      </c>
    </row>
    <row r="137" spans="1:6" ht="84" customHeight="1" x14ac:dyDescent="0.2">
      <c r="A137" s="8">
        <v>136</v>
      </c>
      <c r="B137" s="8" t="s">
        <v>1096</v>
      </c>
      <c r="C137" s="8" t="s">
        <v>48</v>
      </c>
      <c r="D137" s="8" t="s">
        <v>1053</v>
      </c>
      <c r="E137" s="11" t="s">
        <v>4</v>
      </c>
      <c r="F137" s="10" t="s">
        <v>1686</v>
      </c>
    </row>
    <row r="138" spans="1:6" ht="69.75" customHeight="1" x14ac:dyDescent="0.2">
      <c r="A138" s="8">
        <v>137</v>
      </c>
      <c r="B138" s="8" t="s">
        <v>1145</v>
      </c>
      <c r="C138" s="8" t="s">
        <v>271</v>
      </c>
      <c r="D138" s="8" t="s">
        <v>1053</v>
      </c>
      <c r="E138" s="11" t="s">
        <v>4</v>
      </c>
      <c r="F138" s="10" t="s">
        <v>1687</v>
      </c>
    </row>
    <row r="139" spans="1:6" ht="111.75" customHeight="1" x14ac:dyDescent="0.2">
      <c r="A139" s="8">
        <v>138</v>
      </c>
      <c r="B139" s="8" t="s">
        <v>1097</v>
      </c>
      <c r="C139" s="8" t="s">
        <v>267</v>
      </c>
      <c r="D139" s="8" t="s">
        <v>1053</v>
      </c>
      <c r="E139" s="11" t="s">
        <v>4</v>
      </c>
      <c r="F139" s="10" t="s">
        <v>1688</v>
      </c>
    </row>
    <row r="140" spans="1:6" ht="60" customHeight="1" x14ac:dyDescent="0.2">
      <c r="A140" s="8">
        <v>139</v>
      </c>
      <c r="B140" s="8" t="s">
        <v>1098</v>
      </c>
      <c r="C140" s="8" t="s">
        <v>191</v>
      </c>
      <c r="D140" s="8" t="s">
        <v>1053</v>
      </c>
      <c r="E140" s="11" t="s">
        <v>4</v>
      </c>
      <c r="F140" s="10" t="s">
        <v>1689</v>
      </c>
    </row>
    <row r="141" spans="1:6" ht="111.75" customHeight="1" x14ac:dyDescent="0.2">
      <c r="A141" s="8">
        <v>140</v>
      </c>
      <c r="B141" s="8" t="s">
        <v>1546</v>
      </c>
      <c r="C141" s="8" t="s">
        <v>112</v>
      </c>
      <c r="D141" s="8" t="s">
        <v>1053</v>
      </c>
      <c r="E141" s="11" t="s">
        <v>4</v>
      </c>
      <c r="F141" s="10" t="s">
        <v>1690</v>
      </c>
    </row>
    <row r="142" spans="1:6" ht="153.75" customHeight="1" x14ac:dyDescent="0.2">
      <c r="A142" s="8">
        <v>141</v>
      </c>
      <c r="B142" s="8" t="s">
        <v>1547</v>
      </c>
      <c r="C142" s="8" t="s">
        <v>87</v>
      </c>
      <c r="D142" s="8" t="s">
        <v>1053</v>
      </c>
      <c r="E142" s="11" t="s">
        <v>4</v>
      </c>
      <c r="F142" s="10" t="s">
        <v>1691</v>
      </c>
    </row>
    <row r="143" spans="1:6" ht="139.5" customHeight="1" x14ac:dyDescent="0.2">
      <c r="A143" s="8">
        <v>142</v>
      </c>
      <c r="B143" s="8" t="s">
        <v>1548</v>
      </c>
      <c r="C143" s="8" t="s">
        <v>332</v>
      </c>
      <c r="D143" s="8" t="s">
        <v>1053</v>
      </c>
      <c r="E143" s="11" t="s">
        <v>4</v>
      </c>
      <c r="F143" s="10" t="s">
        <v>1692</v>
      </c>
    </row>
    <row r="144" spans="1:6" ht="126" customHeight="1" x14ac:dyDescent="0.2">
      <c r="A144" s="8">
        <v>143</v>
      </c>
      <c r="B144" s="8" t="s">
        <v>1549</v>
      </c>
      <c r="C144" s="8" t="s">
        <v>226</v>
      </c>
      <c r="D144" s="8" t="s">
        <v>1108</v>
      </c>
      <c r="E144" s="11" t="s">
        <v>4</v>
      </c>
      <c r="F144" s="10" t="s">
        <v>1693</v>
      </c>
    </row>
    <row r="145" spans="1:6" ht="97.5" customHeight="1" x14ac:dyDescent="0.2">
      <c r="A145" s="8">
        <v>144</v>
      </c>
      <c r="B145" s="8" t="s">
        <v>1550</v>
      </c>
      <c r="C145" s="8" t="s">
        <v>62</v>
      </c>
      <c r="D145" s="8" t="s">
        <v>1055</v>
      </c>
      <c r="E145" s="11" t="s">
        <v>4</v>
      </c>
      <c r="F145" s="10" t="s">
        <v>1694</v>
      </c>
    </row>
    <row r="146" spans="1:6" ht="168" customHeight="1" x14ac:dyDescent="0.2">
      <c r="A146" s="8">
        <v>145</v>
      </c>
      <c r="B146" s="8" t="s">
        <v>1551</v>
      </c>
      <c r="C146" s="8" t="s">
        <v>90</v>
      </c>
      <c r="D146" s="8" t="s">
        <v>1053</v>
      </c>
      <c r="E146" s="12" t="s">
        <v>5</v>
      </c>
      <c r="F146" s="10" t="s">
        <v>1695</v>
      </c>
    </row>
    <row r="147" spans="1:6" ht="153.75" customHeight="1" x14ac:dyDescent="0.2">
      <c r="A147" s="8">
        <v>146</v>
      </c>
      <c r="B147" s="8" t="s">
        <v>1099</v>
      </c>
      <c r="C147" s="8" t="s">
        <v>160</v>
      </c>
      <c r="D147" s="8" t="s">
        <v>1053</v>
      </c>
      <c r="E147" s="11" t="s">
        <v>4</v>
      </c>
      <c r="F147" s="10" t="s">
        <v>1258</v>
      </c>
    </row>
    <row r="148" spans="1:6" ht="126" customHeight="1" x14ac:dyDescent="0.2">
      <c r="A148" s="8">
        <v>147</v>
      </c>
      <c r="B148" s="8" t="s">
        <v>1144</v>
      </c>
      <c r="C148" s="8" t="s">
        <v>332</v>
      </c>
      <c r="D148" s="8" t="s">
        <v>1101</v>
      </c>
      <c r="E148" s="11" t="s">
        <v>4</v>
      </c>
      <c r="F148" s="10" t="s">
        <v>1299</v>
      </c>
    </row>
    <row r="149" spans="1:6" ht="153.75" customHeight="1" x14ac:dyDescent="0.2">
      <c r="A149" s="8">
        <v>148</v>
      </c>
      <c r="B149" s="8" t="s">
        <v>1143</v>
      </c>
      <c r="C149" s="8" t="s">
        <v>181</v>
      </c>
      <c r="D149" s="8" t="s">
        <v>1053</v>
      </c>
      <c r="E149" s="11" t="s">
        <v>4</v>
      </c>
      <c r="F149" s="10" t="s">
        <v>1298</v>
      </c>
    </row>
    <row r="150" spans="1:6" ht="139.5" customHeight="1" x14ac:dyDescent="0.2">
      <c r="A150" s="8">
        <v>149</v>
      </c>
      <c r="B150" s="8" t="s">
        <v>1142</v>
      </c>
      <c r="C150" s="8" t="s">
        <v>29</v>
      </c>
      <c r="D150" s="8" t="s">
        <v>1053</v>
      </c>
      <c r="E150" s="11" t="s">
        <v>4</v>
      </c>
      <c r="F150" s="10" t="s">
        <v>1696</v>
      </c>
    </row>
    <row r="151" spans="1:6" ht="168" customHeight="1" x14ac:dyDescent="0.2">
      <c r="A151" s="8">
        <v>150</v>
      </c>
      <c r="B151" s="8" t="s">
        <v>1141</v>
      </c>
      <c r="C151" s="8" t="s">
        <v>121</v>
      </c>
      <c r="D151" s="8" t="s">
        <v>1053</v>
      </c>
      <c r="E151" s="11" t="s">
        <v>4</v>
      </c>
      <c r="F151" s="10" t="s">
        <v>1697</v>
      </c>
    </row>
    <row r="152" spans="1:6" ht="223.5" customHeight="1" x14ac:dyDescent="0.2">
      <c r="A152" s="8">
        <v>151</v>
      </c>
      <c r="B152" s="8" t="s">
        <v>1552</v>
      </c>
      <c r="C152" s="8" t="s">
        <v>29</v>
      </c>
      <c r="D152" s="8" t="s">
        <v>1053</v>
      </c>
      <c r="E152" s="11" t="s">
        <v>4</v>
      </c>
      <c r="F152" s="10" t="s">
        <v>1698</v>
      </c>
    </row>
    <row r="153" spans="1:6" ht="168" customHeight="1" x14ac:dyDescent="0.2">
      <c r="A153" s="8">
        <v>152</v>
      </c>
      <c r="B153" s="8" t="s">
        <v>1140</v>
      </c>
      <c r="C153" s="8" t="s">
        <v>58</v>
      </c>
      <c r="D153" s="8" t="s">
        <v>1053</v>
      </c>
      <c r="E153" s="11" t="s">
        <v>4</v>
      </c>
      <c r="F153" s="10" t="s">
        <v>1699</v>
      </c>
    </row>
    <row r="154" spans="1:6" ht="168" customHeight="1" x14ac:dyDescent="0.2">
      <c r="A154" s="8">
        <v>153</v>
      </c>
      <c r="B154" s="8" t="s">
        <v>1139</v>
      </c>
      <c r="C154" s="8" t="s">
        <v>150</v>
      </c>
      <c r="D154" s="8" t="s">
        <v>1101</v>
      </c>
      <c r="E154" s="11" t="s">
        <v>4</v>
      </c>
      <c r="F154" s="10" t="s">
        <v>1700</v>
      </c>
    </row>
    <row r="155" spans="1:6" ht="168" customHeight="1" x14ac:dyDescent="0.2">
      <c r="A155" s="8">
        <v>154</v>
      </c>
      <c r="B155" s="8" t="s">
        <v>1100</v>
      </c>
      <c r="C155" s="8" t="s">
        <v>267</v>
      </c>
      <c r="D155" s="8" t="s">
        <v>1101</v>
      </c>
      <c r="E155" s="11" t="s">
        <v>4</v>
      </c>
      <c r="F155" s="10" t="s">
        <v>1701</v>
      </c>
    </row>
    <row r="156" spans="1:6" ht="126" customHeight="1" x14ac:dyDescent="0.2">
      <c r="A156" s="8">
        <v>155</v>
      </c>
      <c r="B156" s="8" t="s">
        <v>1553</v>
      </c>
      <c r="C156" s="8" t="s">
        <v>223</v>
      </c>
      <c r="D156" s="8" t="s">
        <v>1101</v>
      </c>
      <c r="E156" s="11" t="s">
        <v>4</v>
      </c>
      <c r="F156" s="10" t="s">
        <v>1702</v>
      </c>
    </row>
    <row r="157" spans="1:6" ht="126" customHeight="1" x14ac:dyDescent="0.2">
      <c r="A157" s="8">
        <v>156</v>
      </c>
      <c r="B157" s="8" t="s">
        <v>1138</v>
      </c>
      <c r="C157" s="8" t="s">
        <v>345</v>
      </c>
      <c r="D157" s="8" t="s">
        <v>1101</v>
      </c>
      <c r="E157" s="11" t="s">
        <v>4</v>
      </c>
      <c r="F157" s="10" t="s">
        <v>1293</v>
      </c>
    </row>
    <row r="158" spans="1:6" ht="153.75" customHeight="1" x14ac:dyDescent="0.2">
      <c r="A158" s="8">
        <v>157</v>
      </c>
      <c r="B158" s="8" t="s">
        <v>1102</v>
      </c>
      <c r="C158" s="8" t="s">
        <v>131</v>
      </c>
      <c r="D158" s="8" t="s">
        <v>1101</v>
      </c>
      <c r="E158" s="11" t="s">
        <v>4</v>
      </c>
      <c r="F158" s="10" t="s">
        <v>1703</v>
      </c>
    </row>
    <row r="159" spans="1:6" ht="265.5" customHeight="1" x14ac:dyDescent="0.2">
      <c r="A159" s="8">
        <v>158</v>
      </c>
      <c r="B159" s="8" t="s">
        <v>1554</v>
      </c>
      <c r="C159" s="8" t="s">
        <v>112</v>
      </c>
      <c r="D159" s="8" t="s">
        <v>1055</v>
      </c>
      <c r="E159" s="12" t="s">
        <v>5</v>
      </c>
      <c r="F159" s="10" t="s">
        <v>1704</v>
      </c>
    </row>
    <row r="160" spans="1:6" ht="153.75" customHeight="1" x14ac:dyDescent="0.2">
      <c r="A160" s="8">
        <v>159</v>
      </c>
      <c r="B160" s="8" t="s">
        <v>1555</v>
      </c>
      <c r="C160" s="8" t="s">
        <v>271</v>
      </c>
      <c r="D160" s="8" t="s">
        <v>1101</v>
      </c>
      <c r="E160" s="12" t="s">
        <v>5</v>
      </c>
      <c r="F160" s="10" t="s">
        <v>1705</v>
      </c>
    </row>
    <row r="161" spans="1:6" ht="195.75" customHeight="1" x14ac:dyDescent="0.2">
      <c r="A161" s="8">
        <v>160</v>
      </c>
      <c r="B161" s="8" t="s">
        <v>1556</v>
      </c>
      <c r="C161" s="8" t="s">
        <v>1557</v>
      </c>
      <c r="D161" s="8" t="s">
        <v>1053</v>
      </c>
      <c r="E161" s="11" t="s">
        <v>4</v>
      </c>
      <c r="F161" s="10" t="s">
        <v>1706</v>
      </c>
    </row>
    <row r="162" spans="1:6" ht="195.75" customHeight="1" x14ac:dyDescent="0.2">
      <c r="A162" s="8">
        <v>161</v>
      </c>
      <c r="B162" s="8" t="s">
        <v>1103</v>
      </c>
      <c r="C162" s="8" t="s">
        <v>100</v>
      </c>
      <c r="D162" s="8" t="s">
        <v>1101</v>
      </c>
      <c r="E162" s="11" t="s">
        <v>4</v>
      </c>
      <c r="F162" s="10" t="s">
        <v>1707</v>
      </c>
    </row>
    <row r="163" spans="1:6" ht="168" customHeight="1" x14ac:dyDescent="0.2">
      <c r="A163" s="8">
        <v>162</v>
      </c>
      <c r="B163" s="8" t="s">
        <v>1558</v>
      </c>
      <c r="C163" s="8" t="s">
        <v>95</v>
      </c>
      <c r="D163" s="8" t="s">
        <v>1053</v>
      </c>
      <c r="E163" s="12" t="s">
        <v>5</v>
      </c>
      <c r="F163" s="10" t="s">
        <v>1708</v>
      </c>
    </row>
    <row r="164" spans="1:6" ht="265.5" customHeight="1" x14ac:dyDescent="0.2">
      <c r="A164" s="8">
        <v>163</v>
      </c>
      <c r="B164" s="8" t="s">
        <v>1559</v>
      </c>
      <c r="C164" s="8" t="s">
        <v>267</v>
      </c>
      <c r="D164" s="8" t="s">
        <v>1101</v>
      </c>
      <c r="E164" s="12" t="s">
        <v>5</v>
      </c>
      <c r="F164" s="10" t="s">
        <v>1709</v>
      </c>
    </row>
    <row r="165" spans="1:6" ht="195.75" customHeight="1" x14ac:dyDescent="0.2">
      <c r="A165" s="8">
        <v>164</v>
      </c>
      <c r="B165" s="8" t="s">
        <v>1560</v>
      </c>
      <c r="C165" s="8" t="s">
        <v>72</v>
      </c>
      <c r="D165" s="8" t="s">
        <v>1101</v>
      </c>
      <c r="E165" s="11" t="s">
        <v>4</v>
      </c>
      <c r="F165" s="10" t="s">
        <v>1710</v>
      </c>
    </row>
    <row r="166" spans="1:6" ht="84" customHeight="1" x14ac:dyDescent="0.2">
      <c r="A166" s="8">
        <v>165</v>
      </c>
      <c r="B166" s="8" t="s">
        <v>1104</v>
      </c>
      <c r="C166" s="8" t="s">
        <v>105</v>
      </c>
      <c r="D166" s="8" t="s">
        <v>1053</v>
      </c>
      <c r="E166" s="11" t="s">
        <v>4</v>
      </c>
      <c r="F166" s="10" t="s">
        <v>1711</v>
      </c>
    </row>
    <row r="167" spans="1:6" ht="84" customHeight="1" x14ac:dyDescent="0.2">
      <c r="A167" s="8">
        <v>166</v>
      </c>
      <c r="B167" s="8" t="s">
        <v>1105</v>
      </c>
      <c r="C167" s="8" t="s">
        <v>10</v>
      </c>
      <c r="D167" s="8" t="s">
        <v>1053</v>
      </c>
      <c r="E167" s="11" t="s">
        <v>4</v>
      </c>
      <c r="F167" s="10" t="s">
        <v>1712</v>
      </c>
    </row>
    <row r="168" spans="1:6" ht="97.5" customHeight="1" x14ac:dyDescent="0.2">
      <c r="A168" s="8">
        <v>167</v>
      </c>
      <c r="B168" s="8" t="s">
        <v>1106</v>
      </c>
      <c r="C168" s="8" t="s">
        <v>197</v>
      </c>
      <c r="D168" s="8" t="s">
        <v>1053</v>
      </c>
      <c r="E168" s="11" t="s">
        <v>4</v>
      </c>
      <c r="F168" s="10" t="s">
        <v>1713</v>
      </c>
    </row>
    <row r="169" spans="1:6" ht="210" customHeight="1" x14ac:dyDescent="0.2">
      <c r="A169" s="8">
        <v>168</v>
      </c>
      <c r="B169" s="8" t="s">
        <v>1561</v>
      </c>
      <c r="C169" s="8" t="s">
        <v>179</v>
      </c>
      <c r="D169" s="8" t="s">
        <v>1053</v>
      </c>
      <c r="E169" s="11" t="s">
        <v>4</v>
      </c>
      <c r="F169" s="10" t="s">
        <v>1714</v>
      </c>
    </row>
    <row r="170" spans="1:6" ht="97.5" customHeight="1" x14ac:dyDescent="0.2">
      <c r="A170" s="8">
        <v>169</v>
      </c>
      <c r="B170" s="8" t="s">
        <v>1562</v>
      </c>
      <c r="C170" s="8" t="s">
        <v>405</v>
      </c>
      <c r="D170" s="8" t="s">
        <v>1053</v>
      </c>
      <c r="E170" s="11" t="s">
        <v>4</v>
      </c>
      <c r="F170" s="10" t="s">
        <v>1715</v>
      </c>
    </row>
    <row r="171" spans="1:6" ht="97.5" customHeight="1" x14ac:dyDescent="0.2">
      <c r="A171" s="8">
        <v>170</v>
      </c>
      <c r="B171" s="8" t="s">
        <v>1107</v>
      </c>
      <c r="C171" s="8" t="s">
        <v>226</v>
      </c>
      <c r="D171" s="8" t="s">
        <v>1108</v>
      </c>
      <c r="E171" s="11" t="s">
        <v>4</v>
      </c>
      <c r="F171" s="10" t="s">
        <v>1716</v>
      </c>
    </row>
    <row r="172" spans="1:6" ht="111.75" customHeight="1" x14ac:dyDescent="0.2">
      <c r="A172" s="8">
        <v>171</v>
      </c>
      <c r="B172" s="8" t="s">
        <v>1563</v>
      </c>
      <c r="C172" s="8" t="s">
        <v>85</v>
      </c>
      <c r="D172" s="8" t="s">
        <v>1108</v>
      </c>
      <c r="E172" s="11" t="s">
        <v>4</v>
      </c>
      <c r="F172" s="10" t="s">
        <v>1717</v>
      </c>
    </row>
    <row r="173" spans="1:6" ht="153.75" customHeight="1" x14ac:dyDescent="0.2">
      <c r="A173" s="8">
        <v>172</v>
      </c>
      <c r="B173" s="8" t="s">
        <v>1564</v>
      </c>
      <c r="C173" s="8" t="s">
        <v>191</v>
      </c>
      <c r="D173" s="8" t="s">
        <v>1053</v>
      </c>
      <c r="E173" s="11" t="s">
        <v>4</v>
      </c>
      <c r="F173" s="10" t="s">
        <v>1718</v>
      </c>
    </row>
    <row r="174" spans="1:6" ht="97.5" customHeight="1" x14ac:dyDescent="0.2">
      <c r="A174" s="8">
        <v>173</v>
      </c>
      <c r="B174" s="8" t="s">
        <v>1565</v>
      </c>
      <c r="C174" s="8" t="s">
        <v>368</v>
      </c>
      <c r="D174" s="8" t="s">
        <v>1053</v>
      </c>
      <c r="E174" s="11" t="s">
        <v>4</v>
      </c>
      <c r="F174" s="10" t="s">
        <v>1719</v>
      </c>
    </row>
    <row r="175" spans="1:6" ht="126" customHeight="1" x14ac:dyDescent="0.2">
      <c r="A175" s="8">
        <v>174</v>
      </c>
      <c r="B175" s="8" t="s">
        <v>1566</v>
      </c>
      <c r="C175" s="8" t="s">
        <v>90</v>
      </c>
      <c r="D175" s="8" t="s">
        <v>1053</v>
      </c>
      <c r="E175" s="11" t="s">
        <v>4</v>
      </c>
      <c r="F175" s="10" t="s">
        <v>1720</v>
      </c>
    </row>
    <row r="176" spans="1:6" ht="181.5" customHeight="1" x14ac:dyDescent="0.2">
      <c r="A176" s="8">
        <v>175</v>
      </c>
      <c r="B176" s="8" t="s">
        <v>1567</v>
      </c>
      <c r="C176" s="8" t="s">
        <v>223</v>
      </c>
      <c r="D176" s="8" t="s">
        <v>1053</v>
      </c>
      <c r="E176" s="12" t="s">
        <v>5</v>
      </c>
      <c r="F176" s="10" t="s">
        <v>1721</v>
      </c>
    </row>
  </sheetData>
  <autoFilter ref="A1:F176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Index_305</vt:lpstr>
      <vt:lpstr>Solutions_305</vt:lpstr>
      <vt:lpstr>Index_167</vt:lpstr>
      <vt:lpstr>Solutions_167</vt:lpstr>
      <vt:lpstr>Index_Git12</vt:lpstr>
      <vt:lpstr>Solutions_Git12</vt:lpstr>
      <vt:lpstr>Index_SF51</vt:lpstr>
      <vt:lpstr>Solutions_SF51</vt:lpstr>
      <vt:lpstr>Index_PY175</vt:lpstr>
      <vt:lpstr>Solutions_PY175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Padmanabhan Iyer</cp:lastModifiedBy>
  <cp:revision>0</cp:revision>
  <dcterms:created xsi:type="dcterms:W3CDTF">2026-05-04T21:58:36Z</dcterms:created>
  <dcterms:modified xsi:type="dcterms:W3CDTF">2026-05-04T22:45:03Z</dcterms:modified>
  <dc:language>en-US</dc:language>
</cp:coreProperties>
</file>